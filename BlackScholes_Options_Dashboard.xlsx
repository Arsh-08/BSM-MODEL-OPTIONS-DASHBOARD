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Option Pricer" sheetId="3" state="visible" r:id="rId5"/>
    <sheet name="Sensitivity Tables" sheetId="4" state="visible" r:id="rId6"/>
    <sheet name="Payoff Analysis" sheetId="5" state="visible" r:id="rId7"/>
    <sheet name="Greeks Deep-Div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<sst xmlns="http://schemas.openxmlformats.org/spreadsheetml/2006/main" count="202" uniqueCount="185">
  <si>
    <t xml:space="preserve">BLACK-SCHOLES OPTIONS PRICING DASHBOARD</t>
  </si>
  <si>
    <t xml:space="preserve">Option Pricing  ·  Greeks Analysis  ·  Sensitivity Tables  ·  Payoff Diagrams</t>
  </si>
  <si>
    <t xml:space="preserve">Arsh Gulia  |  FRM Certified  |  B.A. (Hons.) Business Economics, University of Delhi</t>
  </si>
  <si>
    <t xml:space="preserve">MODEL NAVIGATION</t>
  </si>
  <si>
    <t xml:space="preserve">  1. Assumptions</t>
  </si>
  <si>
    <t xml:space="preserve">Input all parameters: Stock Price, Strike, Vol, Rate, Time. START HERE.</t>
  </si>
  <si>
    <t xml:space="preserve">  2. Option Pricer</t>
  </si>
  <si>
    <t xml:space="preserve">Live Black-Scholes Call &amp; Put prices with all 5 Greeks calculated.</t>
  </si>
  <si>
    <t xml:space="preserve">  3. Sensitivity Tables</t>
  </si>
  <si>
    <t xml:space="preserve">How option price and Greeks change across spot prices and volatilities.</t>
  </si>
  <si>
    <t xml:space="preserve">  4. Payoff Analysis</t>
  </si>
  <si>
    <t xml:space="preserve">P&amp;L diagrams at expiry for long/short call and put strategies.</t>
  </si>
  <si>
    <t xml:space="preserve">  5. Greeks Deep-Dive</t>
  </si>
  <si>
    <t xml:space="preserve">Individual Greek profiles across strike range with interpretations.</t>
  </si>
  <si>
    <t xml:space="preserve">COLOUR CODING CONVENTION</t>
  </si>
  <si>
    <t xml:space="preserve">Blue text</t>
  </si>
  <si>
    <t xml:space="preserve">Hardcoded inputs — values you change</t>
  </si>
  <si>
    <t xml:space="preserve">Black text</t>
  </si>
  <si>
    <t xml:space="preserve">Formulas &amp; calculations — do not edit</t>
  </si>
  <si>
    <t xml:space="preserve">Green text</t>
  </si>
  <si>
    <t xml:space="preserve">Cross-sheet links from Assumptions</t>
  </si>
  <si>
    <t xml:space="preserve">Yellow bg</t>
  </si>
  <si>
    <t xml:space="preserve">Key input cells requiring your attention</t>
  </si>
  <si>
    <t xml:space="preserve">BLACK-SCHOLES MODEL — FORMULAE</t>
  </si>
  <si>
    <t xml:space="preserve">Call Price</t>
  </si>
  <si>
    <t xml:space="preserve">C = S·N(d₁) − K·e^(−rT)·N(d₂)</t>
  </si>
  <si>
    <t xml:space="preserve">Put Price</t>
  </si>
  <si>
    <t xml:space="preserve">P = K·e^(−rT)·N(−d₂) − S·N(−d₁)</t>
  </si>
  <si>
    <t xml:space="preserve">d₁</t>
  </si>
  <si>
    <t xml:space="preserve">d₁ = [ln(S/K) + (r + σ²/2)·T] / (σ·√T)</t>
  </si>
  <si>
    <t xml:space="preserve">d₂</t>
  </si>
  <si>
    <t xml:space="preserve">d₂ = d₁ − σ·√T</t>
  </si>
  <si>
    <t xml:space="preserve">Delta (Δ)</t>
  </si>
  <si>
    <t xml:space="preserve">Call: N(d₁)   |   Put: N(d₁) − 1</t>
  </si>
  <si>
    <t xml:space="preserve">Gamma (Γ)</t>
  </si>
  <si>
    <t xml:space="preserve">N'(d₁) / (S·σ·√T)   [same for call and put]</t>
  </si>
  <si>
    <t xml:space="preserve">Vega (ν)</t>
  </si>
  <si>
    <t xml:space="preserve">S·N'(d₁)·√T   [same for call and put, per 1% vol move ÷100]</t>
  </si>
  <si>
    <t xml:space="preserve">Theta (Θ)</t>
  </si>
  <si>
    <t xml:space="preserve">−[S·N'(d₁)·σ/(2√T)] − r·K·e^(−rT)·N(d₂)   [call, per day ÷365]</t>
  </si>
  <si>
    <t xml:space="preserve">Rho (ρ)</t>
  </si>
  <si>
    <t xml:space="preserve">Call: K·T·e^(−rT)·N(d₂)·0.01   |   Put: −K·T·e^(−rT)·N(−d₂)·0.01</t>
  </si>
  <si>
    <t xml:space="preserve">INPUT PARAMETERS — BLACK-SCHOLES MODEL</t>
  </si>
  <si>
    <t xml:space="preserve">Change the BLUE cells below. All other sheets update automatically.</t>
  </si>
  <si>
    <t xml:space="preserve">A.  OPTION PARAMETERS</t>
  </si>
  <si>
    <t xml:space="preserve">S — Current Stock Price (₹)</t>
  </si>
  <si>
    <t xml:space="preserve">e.g. RELIANCE at ₹2,500</t>
  </si>
  <si>
    <t xml:space="preserve">K — Strike Price (₹)</t>
  </si>
  <si>
    <t xml:space="preserve">At-the-money option</t>
  </si>
  <si>
    <t xml:space="preserve">σ — Annual Volatility (%)</t>
  </si>
  <si>
    <t xml:space="preserve">25% vol — typical mid-cap India</t>
  </si>
  <si>
    <t xml:space="preserve">r — Risk-Free Rate (% p.a.)</t>
  </si>
  <si>
    <t xml:space="preserve">~RBI repo rate proxy</t>
  </si>
  <si>
    <t xml:space="preserve">T — Time to Expiry (Years)</t>
  </si>
  <si>
    <t xml:space="preserve">3 months = 0.25 years</t>
  </si>
  <si>
    <t xml:space="preserve">q — Dividend Yield (% p.a.)</t>
  </si>
  <si>
    <t xml:space="preserve">Set to 0 if no dividend</t>
  </si>
  <si>
    <t xml:space="preserve">B.  DERIVED INTERMEDIATE VALUES  (for transparency)</t>
  </si>
  <si>
    <t xml:space="preserve">ln(S/K)</t>
  </si>
  <si>
    <t xml:space="preserve">Natural log of moneyness</t>
  </si>
  <si>
    <t xml:space="preserve">σ·√T</t>
  </si>
  <si>
    <t xml:space="preserve">Volatility scaled to time</t>
  </si>
  <si>
    <t xml:space="preserve">d1 parameter</t>
  </si>
  <si>
    <t xml:space="preserve">d₂  =  d₁ − σ√T</t>
  </si>
  <si>
    <t xml:space="preserve">d2 parameter</t>
  </si>
  <si>
    <t xml:space="preserve">N(d₁)  [Cumulative]</t>
  </si>
  <si>
    <t xml:space="preserve">Probability d1</t>
  </si>
  <si>
    <t xml:space="preserve">N(d₂)  [Cumulative]</t>
  </si>
  <si>
    <t xml:space="preserve">Probability d2</t>
  </si>
  <si>
    <t xml:space="preserve">N(−d₁)</t>
  </si>
  <si>
    <t xml:space="preserve">1 - N(d1)</t>
  </si>
  <si>
    <t xml:space="preserve">N(−d₂)</t>
  </si>
  <si>
    <t xml:space="preserve">1 - N(d2)</t>
  </si>
  <si>
    <t xml:space="preserve">N'(d₁)  [PDF]</t>
  </si>
  <si>
    <t xml:space="preserve">Standard normal density at d1</t>
  </si>
  <si>
    <t xml:space="preserve">e^(−rT)</t>
  </si>
  <si>
    <t xml:space="preserve">Discount factor</t>
  </si>
  <si>
    <t xml:space="preserve">C.  SENSITIVITY TABLE RANGES  (used in Sensitivity Tables sheet)</t>
  </si>
  <si>
    <t xml:space="preserve">Spot Price Min (₹)</t>
  </si>
  <si>
    <t xml:space="preserve">70% of current spot</t>
  </si>
  <si>
    <t xml:space="preserve">Spot Price Max (₹)</t>
  </si>
  <si>
    <t xml:space="preserve">130% of current spot</t>
  </si>
  <si>
    <t xml:space="preserve">Spot Price Step (₹)</t>
  </si>
  <si>
    <t xml:space="preserve">Increment between spot prices</t>
  </si>
  <si>
    <t xml:space="preserve">Volatility Min (%)</t>
  </si>
  <si>
    <t xml:space="preserve">10% vol lower bound</t>
  </si>
  <si>
    <t xml:space="preserve">Volatility Max (%)</t>
  </si>
  <si>
    <t xml:space="preserve">50% vol upper bound</t>
  </si>
  <si>
    <t xml:space="preserve">Volatility Step (%)</t>
  </si>
  <si>
    <t xml:space="preserve">5% increments</t>
  </si>
  <si>
    <t xml:space="preserve">OPTION PRICER — BLACK-SCHOLES LIVE PRICING &amp; GREEKS</t>
  </si>
  <si>
    <t xml:space="preserve">All values update automatically when Assumptions sheet inputs are changed</t>
  </si>
  <si>
    <t xml:space="preserve">A.  OPTION PRICES</t>
  </si>
  <si>
    <t xml:space="preserve">Metric</t>
  </si>
  <si>
    <t xml:space="preserve">CALL Option</t>
  </si>
  <si>
    <t xml:space="preserve">Interpretation</t>
  </si>
  <si>
    <t xml:space="preserve">PUT Option</t>
  </si>
  <si>
    <t xml:space="preserve">Option Price (₹)</t>
  </si>
  <si>
    <t xml:space="preserve">Max amount CALL buyer should pay</t>
  </si>
  <si>
    <t xml:space="preserve">Max amount PUT buyer should pay</t>
  </si>
  <si>
    <t xml:space="preserve">Intrinsic Value (₹)</t>
  </si>
  <si>
    <t xml:space="preserve">In-the-money amount (floor = 0)</t>
  </si>
  <si>
    <t xml:space="preserve">Time Value (₹)</t>
  </si>
  <si>
    <t xml:space="preserve">Premium above intrinsic value</t>
  </si>
  <si>
    <t xml:space="preserve">Moneyness</t>
  </si>
  <si>
    <t xml:space="preserve">Relationship of spot to strike</t>
  </si>
  <si>
    <t xml:space="preserve">B.  THE GREEKS — RISK SENSITIVITIES</t>
  </si>
  <si>
    <t xml:space="preserve">Greek</t>
  </si>
  <si>
    <t xml:space="preserve">Symbol</t>
  </si>
  <si>
    <t xml:space="preserve">CALL Value</t>
  </si>
  <si>
    <t xml:space="preserve">PUT Value</t>
  </si>
  <si>
    <t xml:space="preserve">Unit</t>
  </si>
  <si>
    <t xml:space="preserve">What it Measures</t>
  </si>
  <si>
    <t xml:space="preserve">Risk Management Use</t>
  </si>
  <si>
    <t xml:space="preserve">Delta</t>
  </si>
  <si>
    <t xml:space="preserve">Δ</t>
  </si>
  <si>
    <t xml:space="preserve">₹ per ₹1 move in S</t>
  </si>
  <si>
    <t xml:space="preserve">Change in option price per ₹1 rise in stock</t>
  </si>
  <si>
    <t xml:space="preserve">Hedge ratio — units of stock to hold per option sold</t>
  </si>
  <si>
    <t xml:space="preserve">Gamma</t>
  </si>
  <si>
    <t xml:space="preserve">Γ</t>
  </si>
  <si>
    <t xml:space="preserve">Δ per ₹1 move in S</t>
  </si>
  <si>
    <t xml:space="preserve">Rate of change of Delta; acceleration of option value</t>
  </si>
  <si>
    <t xml:space="preserve">High Gamma = Delta hedges need frequent rebalancing</t>
  </si>
  <si>
    <t xml:space="preserve">Vega</t>
  </si>
  <si>
    <t xml:space="preserve">ν</t>
  </si>
  <si>
    <t xml:space="preserve">₹ per 1% vol move</t>
  </si>
  <si>
    <t xml:space="preserve">Sensitivity to implied volatility (per 1% change)</t>
  </si>
  <si>
    <t xml:space="preserve">Long options have positive Vega — profit from vol spikes</t>
  </si>
  <si>
    <t xml:space="preserve">Theta</t>
  </si>
  <si>
    <t xml:space="preserve">Θ</t>
  </si>
  <si>
    <t xml:space="preserve">₹ per calendar day</t>
  </si>
  <si>
    <t xml:space="preserve">Time decay — option loses this value each day</t>
  </si>
  <si>
    <t xml:space="preserve">Theta is negative for buyers — time erodes option value</t>
  </si>
  <si>
    <t xml:space="preserve">Rho</t>
  </si>
  <si>
    <t xml:space="preserve">ρ</t>
  </si>
  <si>
    <t xml:space="preserve">₹ per 1% rate move</t>
  </si>
  <si>
    <t xml:space="preserve">Sensitivity to risk-free interest rate</t>
  </si>
  <si>
    <t xml:space="preserve">Least important Greek in short-dated equity options</t>
  </si>
  <si>
    <t xml:space="preserve">C.  PUT-CALL PARITY VERIFICATION</t>
  </si>
  <si>
    <t xml:space="preserve">C + K·e^(−rT)</t>
  </si>
  <si>
    <t xml:space="preserve">=</t>
  </si>
  <si>
    <t xml:space="preserve">P + S·e^(−qT)</t>
  </si>
  <si>
    <t xml:space="preserve">Difference</t>
  </si>
  <si>
    <t xml:space="preserve">Left Side (C + Ke^-rT)</t>
  </si>
  <si>
    <t xml:space="preserve">vs</t>
  </si>
  <si>
    <t xml:space="preserve">Right Side (P + Se^-qT)</t>
  </si>
  <si>
    <t xml:space="preserve">Difference should be ~₹0.00 — confirms model accuracy</t>
  </si>
  <si>
    <t xml:space="preserve">SENSITIVITY ANALYSIS — OPTION PRICES &amp; DELTA ACROSS SPOT AND VOLATILITY</t>
  </si>
  <si>
    <t xml:space="preserve">Shows how Call/Put prices and Delta change as Spot Price (rows) and Volatility (columns) vary simultaneously</t>
  </si>
  <si>
    <t xml:space="preserve">CALL OPTION PRICE (₹)  —  Spot vs Volatility</t>
  </si>
  <si>
    <t xml:space="preserve">Spot ↓  Vol →</t>
  </si>
  <si>
    <t xml:space="preserve">10%</t>
  </si>
  <si>
    <t xml:space="preserve">15%</t>
  </si>
  <si>
    <t xml:space="preserve">20%</t>
  </si>
  <si>
    <t xml:space="preserve">25%</t>
  </si>
  <si>
    <t xml:space="preserve">30%</t>
  </si>
  <si>
    <t xml:space="preserve">35%</t>
  </si>
  <si>
    <t xml:space="preserve">40%</t>
  </si>
  <si>
    <t xml:space="preserve">45%</t>
  </si>
  <si>
    <t xml:space="preserve">50%</t>
  </si>
  <si>
    <t xml:space="preserve">PUT OPTION PRICE (₹)  —  Spot vs Volatility</t>
  </si>
  <si>
    <t xml:space="preserve">PAYOFF DIAGRAMS — P&amp;L AT EXPIRY</t>
  </si>
  <si>
    <t xml:space="preserve">Shows profit/loss for Long Call, Short Call, Long Put, Short Put at various expiry prices</t>
  </si>
  <si>
    <t xml:space="preserve">Expiry
Price (₹)</t>
  </si>
  <si>
    <t xml:space="preserve">Long
Call P&amp;L</t>
  </si>
  <si>
    <t xml:space="preserve">Short
Call P&amp;L</t>
  </si>
  <si>
    <t xml:space="preserve">Long
Put P&amp;L</t>
  </si>
  <si>
    <t xml:space="preserve">Short
Put P&amp;L</t>
  </si>
  <si>
    <t xml:space="preserve">Long
Straddle</t>
  </si>
  <si>
    <t xml:space="preserve">Short
Straddle</t>
  </si>
  <si>
    <t xml:space="preserve">Bull
Spread</t>
  </si>
  <si>
    <t xml:space="preserve">Bear
Spread</t>
  </si>
  <si>
    <t xml:space="preserve">GREEKS ACROSS SPOT PRICE — DEEP DIVE ANALYSIS</t>
  </si>
  <si>
    <t xml:space="preserve">How each Greek evolves as the stock price moves from deep OTM to deep ITM</t>
  </si>
  <si>
    <t xml:space="preserve">Spot Price
(₹)</t>
  </si>
  <si>
    <t xml:space="preserve">Call
Delta</t>
  </si>
  <si>
    <t xml:space="preserve">Put
Delta</t>
  </si>
  <si>
    <t xml:space="preserve">Vega
(per 1%)</t>
  </si>
  <si>
    <t xml:space="preserve">Call
Theta/day</t>
  </si>
  <si>
    <t xml:space="preserve">Put
Theta/day</t>
  </si>
  <si>
    <t xml:space="preserve">Call
Rho/1%</t>
  </si>
  <si>
    <t xml:space="preserve">Put
Rho/1%</t>
  </si>
  <si>
    <t xml:space="preserve">Call
Price</t>
  </si>
  <si>
    <t xml:space="preserve">Put
Price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</si>
</sst>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%"/>
    <numFmt numFmtId="167" formatCode="0.000"/>
    <numFmt numFmtId="168" formatCode="0.0000"/>
    <numFmt numFmtId="169" formatCode="#,##0"/>
    <numFmt numFmtId="170" formatCode="0%"/>
    <numFmt numFmtId="171" formatCode="\₹#,##0.00"/>
    <numFmt numFmtId="172" formatCode="\₹#,##0.0000"/>
    <numFmt numFmtId="173" formatCode="0.000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6400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640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3"/>
      <color rgb="FF1B2A4A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565C0"/>
      <name val="Arial"/>
      <family val="0"/>
      <charset val="1"/>
    </font>
    <font>
      <sz val="10"/>
      <color rgb="FFB71C1C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C9A84C"/>
        <bgColor rgb="FFBBBBBB"/>
      </patternFill>
    </fill>
    <fill>
      <patternFill patternType="solid">
        <fgColor rgb="FFFDF3DC"/>
        <bgColor rgb="FFFFFDE7"/>
      </patternFill>
    </fill>
    <fill>
      <patternFill patternType="solid">
        <fgColor rgb="FFD6E4F0"/>
        <bgColor rgb="FFE3F2FD"/>
      </patternFill>
    </fill>
    <fill>
      <patternFill patternType="solid">
        <fgColor rgb="FFFFFFFF"/>
        <bgColor rgb="FFFFFDE7"/>
      </patternFill>
    </fill>
    <fill>
      <patternFill patternType="solid">
        <fgColor rgb="FFF5F5F5"/>
        <bgColor rgb="FFE8F5E9"/>
      </patternFill>
    </fill>
    <fill>
      <patternFill patternType="solid">
        <fgColor rgb="FFFFFF00"/>
        <bgColor rgb="FFFFFF00"/>
      </patternFill>
    </fill>
    <fill>
      <patternFill patternType="solid">
        <fgColor rgb="FFFFEBEE"/>
        <bgColor rgb="FFFCE4EC"/>
      </patternFill>
    </fill>
    <fill>
      <patternFill patternType="solid">
        <fgColor rgb="FFE8F5E9"/>
        <bgColor rgb="FFE3F2FD"/>
      </patternFill>
    </fill>
    <fill>
      <patternFill patternType="solid">
        <fgColor rgb="FFF3E5F5"/>
        <bgColor rgb="FFFCE4EC"/>
      </patternFill>
    </fill>
    <fill>
      <patternFill patternType="solid">
        <fgColor rgb="FF1565C0"/>
        <bgColor rgb="FF1E88E5"/>
      </patternFill>
    </fill>
    <fill>
      <patternFill patternType="solid">
        <fgColor rgb="FF1E88E5"/>
        <bgColor rgb="FF1565C0"/>
      </patternFill>
    </fill>
    <fill>
      <patternFill patternType="solid">
        <fgColor rgb="FFE3F2FD"/>
        <bgColor rgb="FFE8F5E9"/>
      </patternFill>
    </fill>
    <fill>
      <patternFill patternType="solid">
        <fgColor rgb="FFB71C1C"/>
        <bgColor rgb="FF993366"/>
      </patternFill>
    </fill>
    <fill>
      <patternFill patternType="solid">
        <fgColor rgb="FFE53935"/>
        <bgColor rgb="FFB71C1C"/>
      </patternFill>
    </fill>
    <fill>
      <patternFill patternType="solid">
        <fgColor rgb="FFFCE4EC"/>
        <bgColor rgb="FFFFEBEE"/>
      </patternFill>
    </fill>
    <fill>
      <patternFill patternType="solid">
        <fgColor rgb="FFFFFDE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7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DE7"/>
      <rgbColor rgb="FFE3F2FD"/>
      <rgbColor rgb="FF660066"/>
      <rgbColor rgb="FFFF8080"/>
      <rgbColor rgb="FF1565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5F5F5"/>
      <rgbColor rgb="FFFDF3DC"/>
      <rgbColor rgb="FFF3E5F5"/>
      <rgbColor rgb="FFFFEBEE"/>
      <rgbColor rgb="FFCC99FF"/>
      <rgbColor rgb="FFFCE4EC"/>
      <rgbColor rgb="FF1E88E5"/>
      <rgbColor rgb="FF33CCCC"/>
      <rgbColor rgb="FF99CC00"/>
      <rgbColor rgb="FFFFCC00"/>
      <rgbColor rgb="FFFF9900"/>
      <rgbColor rgb="FFE53935"/>
      <rgbColor rgb="FF555555"/>
      <rgbColor rgb="FFC9A84C"/>
      <rgbColor rgb="FF1B2A4A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9" min="4" style="1" width="10"/>
    <col collapsed="false" customWidth="true" hidden="false" outlineLevel="0" max="10" min="10" style="1" width="14"/>
  </cols>
  <sheetData>
    <row r="1" customFormat="false" ht="7.5" hidden="false" customHeight="true" outlineLevel="0" collapsed="false"/>
    <row r="2" customFormat="false" ht="43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24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18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  <c r="J4" s="4"/>
    </row>
    <row r="5" customFormat="false" ht="9.75" hidden="false" customHeight="true" outlineLevel="0" collapsed="false"/>
    <row r="6" customFormat="false" ht="21.75" hidden="false" customHeight="true" outlineLevel="0" collapsed="false">
      <c r="B6" s="5" t="s">
        <v>3</v>
      </c>
      <c r="C6" s="5"/>
      <c r="D6" s="5"/>
      <c r="E6" s="5"/>
      <c r="F6" s="5"/>
      <c r="G6" s="5"/>
      <c r="H6" s="5"/>
      <c r="I6" s="5"/>
      <c r="J6" s="5"/>
    </row>
    <row r="7" customFormat="false" ht="19.5" hidden="false" customHeight="true" outlineLevel="0" collapsed="false">
      <c r="B7" s="6" t="s">
        <v>4</v>
      </c>
      <c r="C7" s="7" t="s">
        <v>5</v>
      </c>
      <c r="D7" s="7"/>
      <c r="E7" s="7"/>
      <c r="F7" s="7"/>
      <c r="G7" s="7"/>
      <c r="H7" s="7"/>
      <c r="I7" s="7"/>
      <c r="J7" s="7"/>
    </row>
    <row r="8" customFormat="false" ht="19.5" hidden="false" customHeight="true" outlineLevel="0" collapsed="false">
      <c r="B8" s="8" t="s">
        <v>6</v>
      </c>
      <c r="C8" s="9" t="s">
        <v>7</v>
      </c>
      <c r="D8" s="9"/>
      <c r="E8" s="9"/>
      <c r="F8" s="9"/>
      <c r="G8" s="9"/>
      <c r="H8" s="9"/>
      <c r="I8" s="9"/>
      <c r="J8" s="9"/>
    </row>
    <row r="9" customFormat="false" ht="19.5" hidden="false" customHeight="true" outlineLevel="0" collapsed="false">
      <c r="B9" s="6" t="s">
        <v>8</v>
      </c>
      <c r="C9" s="7" t="s">
        <v>9</v>
      </c>
      <c r="D9" s="7"/>
      <c r="E9" s="7"/>
      <c r="F9" s="7"/>
      <c r="G9" s="7"/>
      <c r="H9" s="7"/>
      <c r="I9" s="7"/>
      <c r="J9" s="7"/>
    </row>
    <row r="10" customFormat="false" ht="19.5" hidden="false" customHeight="true" outlineLevel="0" collapsed="false">
      <c r="B10" s="8" t="s">
        <v>10</v>
      </c>
      <c r="C10" s="9" t="s">
        <v>11</v>
      </c>
      <c r="D10" s="9"/>
      <c r="E10" s="9"/>
      <c r="F10" s="9"/>
      <c r="G10" s="9"/>
      <c r="H10" s="9"/>
      <c r="I10" s="9"/>
      <c r="J10" s="9"/>
    </row>
    <row r="11" customFormat="false" ht="19.5" hidden="false" customHeight="true" outlineLevel="0" collapsed="false">
      <c r="B11" s="6" t="s">
        <v>12</v>
      </c>
      <c r="C11" s="7" t="s">
        <v>13</v>
      </c>
      <c r="D11" s="7"/>
      <c r="E11" s="7"/>
      <c r="F11" s="7"/>
      <c r="G11" s="7"/>
      <c r="H11" s="7"/>
      <c r="I11" s="7"/>
      <c r="J11" s="7"/>
    </row>
    <row r="12" customFormat="false" ht="9.75" hidden="false" customHeight="true" outlineLevel="0" collapsed="false"/>
    <row r="13" customFormat="false" ht="21.75" hidden="false" customHeight="true" outlineLevel="0" collapsed="false">
      <c r="B13" s="5" t="s">
        <v>14</v>
      </c>
      <c r="C13" s="5"/>
      <c r="D13" s="5"/>
      <c r="E13" s="5"/>
      <c r="F13" s="5"/>
      <c r="G13" s="5"/>
      <c r="H13" s="5"/>
      <c r="I13" s="5"/>
      <c r="J13" s="5"/>
    </row>
    <row r="14" customFormat="false" ht="18" hidden="false" customHeight="true" outlineLevel="0" collapsed="false">
      <c r="B14" s="10" t="s">
        <v>15</v>
      </c>
      <c r="C14" s="11" t="s">
        <v>16</v>
      </c>
      <c r="D14" s="11"/>
      <c r="E14" s="11"/>
      <c r="F14" s="11"/>
      <c r="G14" s="11"/>
      <c r="H14" s="11"/>
      <c r="I14" s="11"/>
      <c r="J14" s="11"/>
    </row>
    <row r="15" customFormat="false" ht="18" hidden="false" customHeight="true" outlineLevel="0" collapsed="false">
      <c r="B15" s="12" t="s">
        <v>17</v>
      </c>
      <c r="C15" s="11" t="s">
        <v>18</v>
      </c>
      <c r="D15" s="11"/>
      <c r="E15" s="11"/>
      <c r="F15" s="11"/>
      <c r="G15" s="11"/>
      <c r="H15" s="11"/>
      <c r="I15" s="11"/>
      <c r="J15" s="11"/>
    </row>
    <row r="16" customFormat="false" ht="18" hidden="false" customHeight="true" outlineLevel="0" collapsed="false">
      <c r="B16" s="13" t="s">
        <v>19</v>
      </c>
      <c r="C16" s="11" t="s">
        <v>20</v>
      </c>
      <c r="D16" s="11"/>
      <c r="E16" s="11"/>
      <c r="F16" s="11"/>
      <c r="G16" s="11"/>
      <c r="H16" s="11"/>
      <c r="I16" s="11"/>
      <c r="J16" s="11"/>
    </row>
    <row r="17" customFormat="false" ht="18" hidden="false" customHeight="true" outlineLevel="0" collapsed="false">
      <c r="B17" s="14" t="s">
        <v>21</v>
      </c>
      <c r="C17" s="11" t="s">
        <v>22</v>
      </c>
      <c r="D17" s="11"/>
      <c r="E17" s="11"/>
      <c r="F17" s="11"/>
      <c r="G17" s="11"/>
      <c r="H17" s="11"/>
      <c r="I17" s="11"/>
      <c r="J17" s="11"/>
    </row>
    <row r="18" customFormat="false" ht="9.75" hidden="false" customHeight="true" outlineLevel="0" collapsed="false"/>
    <row r="19" customFormat="false" ht="21.75" hidden="false" customHeight="true" outlineLevel="0" collapsed="false">
      <c r="B19" s="5" t="s">
        <v>23</v>
      </c>
      <c r="C19" s="5"/>
      <c r="D19" s="5"/>
      <c r="E19" s="5"/>
      <c r="F19" s="5"/>
      <c r="G19" s="5"/>
      <c r="H19" s="5"/>
      <c r="I19" s="5"/>
      <c r="J19" s="5"/>
    </row>
    <row r="20" customFormat="false" ht="18" hidden="false" customHeight="true" outlineLevel="0" collapsed="false">
      <c r="B20" s="8" t="s">
        <v>24</v>
      </c>
      <c r="C20" s="15" t="s">
        <v>25</v>
      </c>
      <c r="D20" s="15"/>
      <c r="E20" s="15"/>
      <c r="F20" s="15"/>
      <c r="G20" s="15"/>
      <c r="H20" s="15"/>
      <c r="I20" s="15"/>
      <c r="J20" s="15"/>
    </row>
    <row r="21" customFormat="false" ht="18" hidden="false" customHeight="true" outlineLevel="0" collapsed="false">
      <c r="B21" s="16" t="s">
        <v>26</v>
      </c>
      <c r="C21" s="17" t="s">
        <v>27</v>
      </c>
      <c r="D21" s="17"/>
      <c r="E21" s="17"/>
      <c r="F21" s="17"/>
      <c r="G21" s="17"/>
      <c r="H21" s="17"/>
      <c r="I21" s="17"/>
      <c r="J21" s="17"/>
    </row>
    <row r="22" customFormat="false" ht="18" hidden="false" customHeight="true" outlineLevel="0" collapsed="false">
      <c r="B22" s="8" t="s">
        <v>28</v>
      </c>
      <c r="C22" s="15" t="s">
        <v>29</v>
      </c>
      <c r="D22" s="15"/>
      <c r="E22" s="15"/>
      <c r="F22" s="15"/>
      <c r="G22" s="15"/>
      <c r="H22" s="15"/>
      <c r="I22" s="15"/>
      <c r="J22" s="15"/>
    </row>
    <row r="23" customFormat="false" ht="18" hidden="false" customHeight="true" outlineLevel="0" collapsed="false">
      <c r="B23" s="16" t="s">
        <v>30</v>
      </c>
      <c r="C23" s="17" t="s">
        <v>31</v>
      </c>
      <c r="D23" s="17"/>
      <c r="E23" s="17"/>
      <c r="F23" s="17"/>
      <c r="G23" s="17"/>
      <c r="H23" s="17"/>
      <c r="I23" s="17"/>
      <c r="J23" s="17"/>
    </row>
    <row r="24" customFormat="false" ht="18" hidden="false" customHeight="true" outlineLevel="0" collapsed="false">
      <c r="B24" s="8" t="s">
        <v>32</v>
      </c>
      <c r="C24" s="15" t="s">
        <v>33</v>
      </c>
      <c r="D24" s="15"/>
      <c r="E24" s="15"/>
      <c r="F24" s="15"/>
      <c r="G24" s="15"/>
      <c r="H24" s="15"/>
      <c r="I24" s="15"/>
      <c r="J24" s="15"/>
    </row>
    <row r="25" customFormat="false" ht="18" hidden="false" customHeight="true" outlineLevel="0" collapsed="false">
      <c r="B25" s="16" t="s">
        <v>34</v>
      </c>
      <c r="C25" s="17" t="s">
        <v>35</v>
      </c>
      <c r="D25" s="17"/>
      <c r="E25" s="17"/>
      <c r="F25" s="17"/>
      <c r="G25" s="17"/>
      <c r="H25" s="17"/>
      <c r="I25" s="17"/>
      <c r="J25" s="17"/>
    </row>
    <row r="26" customFormat="false" ht="18" hidden="false" customHeight="true" outlineLevel="0" collapsed="false">
      <c r="B26" s="8" t="s">
        <v>36</v>
      </c>
      <c r="C26" s="15" t="s">
        <v>37</v>
      </c>
      <c r="D26" s="15"/>
      <c r="E26" s="15"/>
      <c r="F26" s="15"/>
      <c r="G26" s="15"/>
      <c r="H26" s="15"/>
      <c r="I26" s="15"/>
      <c r="J26" s="15"/>
    </row>
    <row r="27" customFormat="false" ht="18" hidden="false" customHeight="true" outlineLevel="0" collapsed="false">
      <c r="B27" s="16" t="s">
        <v>38</v>
      </c>
      <c r="C27" s="17" t="s">
        <v>39</v>
      </c>
      <c r="D27" s="17"/>
      <c r="E27" s="17"/>
      <c r="F27" s="17"/>
      <c r="G27" s="17"/>
      <c r="H27" s="17"/>
      <c r="I27" s="17"/>
      <c r="J27" s="17"/>
    </row>
    <row r="28" customFormat="false" ht="18" hidden="false" customHeight="true" outlineLevel="0" collapsed="false">
      <c r="B28" s="8" t="s">
        <v>40</v>
      </c>
      <c r="C28" s="15" t="s">
        <v>41</v>
      </c>
      <c r="D28" s="15"/>
      <c r="E28" s="15"/>
      <c r="F28" s="15"/>
      <c r="G28" s="15"/>
      <c r="H28" s="15"/>
      <c r="I28" s="15"/>
      <c r="J28" s="15"/>
    </row>
  </sheetData>
  <mergeCells count="24">
    <mergeCell ref="B2:J2"/>
    <mergeCell ref="B3:J3"/>
    <mergeCell ref="B4:J4"/>
    <mergeCell ref="B6:J6"/>
    <mergeCell ref="C7:J7"/>
    <mergeCell ref="C8:J8"/>
    <mergeCell ref="C9:J9"/>
    <mergeCell ref="C10:J10"/>
    <mergeCell ref="C11:J11"/>
    <mergeCell ref="B13:J13"/>
    <mergeCell ref="C14:J14"/>
    <mergeCell ref="C15:J15"/>
    <mergeCell ref="C16:J16"/>
    <mergeCell ref="C17:J17"/>
    <mergeCell ref="B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5" min="3" style="1" width="16"/>
    <col collapsed="false" customWidth="true" hidden="false" outlineLevel="0" max="6" min="6" style="1" width="20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8" t="s">
        <v>42</v>
      </c>
      <c r="C2" s="18"/>
      <c r="D2" s="18"/>
      <c r="E2" s="18"/>
      <c r="F2" s="18"/>
    </row>
    <row r="3" customFormat="false" ht="18" hidden="false" customHeight="true" outlineLevel="0" collapsed="false">
      <c r="B3" s="19" t="s">
        <v>43</v>
      </c>
      <c r="C3" s="19"/>
      <c r="D3" s="19"/>
      <c r="E3" s="19"/>
      <c r="F3" s="19"/>
    </row>
    <row r="4" customFormat="false" ht="9.75" hidden="false" customHeight="true" outlineLevel="0" collapsed="false"/>
    <row r="5" customFormat="false" ht="21.75" hidden="false" customHeight="true" outlineLevel="0" collapsed="false">
      <c r="B5" s="5" t="s">
        <v>44</v>
      </c>
      <c r="C5" s="5"/>
      <c r="D5" s="5"/>
      <c r="E5" s="5"/>
      <c r="F5" s="5"/>
    </row>
    <row r="6" customFormat="false" ht="21.75" hidden="false" customHeight="true" outlineLevel="0" collapsed="false">
      <c r="B6" s="8" t="s">
        <v>45</v>
      </c>
      <c r="C6" s="20" t="n">
        <v>2500</v>
      </c>
      <c r="D6" s="21" t="s">
        <v>46</v>
      </c>
      <c r="E6" s="21"/>
      <c r="F6" s="21"/>
    </row>
    <row r="7" customFormat="false" ht="21.75" hidden="false" customHeight="true" outlineLevel="0" collapsed="false">
      <c r="B7" s="8" t="s">
        <v>47</v>
      </c>
      <c r="C7" s="20" t="n">
        <v>2500</v>
      </c>
      <c r="D7" s="21" t="s">
        <v>48</v>
      </c>
      <c r="E7" s="21"/>
      <c r="F7" s="21"/>
    </row>
    <row r="8" customFormat="false" ht="21.75" hidden="false" customHeight="true" outlineLevel="0" collapsed="false">
      <c r="B8" s="8" t="s">
        <v>49</v>
      </c>
      <c r="C8" s="22" t="n">
        <v>0.25</v>
      </c>
      <c r="D8" s="21" t="s">
        <v>50</v>
      </c>
      <c r="E8" s="21"/>
      <c r="F8" s="21"/>
    </row>
    <row r="9" customFormat="false" ht="21.75" hidden="false" customHeight="true" outlineLevel="0" collapsed="false">
      <c r="B9" s="8" t="s">
        <v>51</v>
      </c>
      <c r="C9" s="22" t="n">
        <v>0.065</v>
      </c>
      <c r="D9" s="21" t="s">
        <v>52</v>
      </c>
      <c r="E9" s="21"/>
      <c r="F9" s="21"/>
    </row>
    <row r="10" customFormat="false" ht="21.75" hidden="false" customHeight="true" outlineLevel="0" collapsed="false">
      <c r="B10" s="8" t="s">
        <v>53</v>
      </c>
      <c r="C10" s="23" t="n">
        <v>0.25</v>
      </c>
      <c r="D10" s="21" t="s">
        <v>54</v>
      </c>
      <c r="E10" s="21"/>
      <c r="F10" s="21"/>
    </row>
    <row r="11" customFormat="false" ht="21.75" hidden="false" customHeight="true" outlineLevel="0" collapsed="false">
      <c r="B11" s="8" t="s">
        <v>55</v>
      </c>
      <c r="C11" s="22" t="n">
        <v>0.01</v>
      </c>
      <c r="D11" s="21" t="s">
        <v>56</v>
      </c>
      <c r="E11" s="21"/>
      <c r="F11" s="21"/>
    </row>
    <row r="12" customFormat="false" ht="9.75" hidden="false" customHeight="true" outlineLevel="0" collapsed="false"/>
    <row r="13" customFormat="false" ht="21.75" hidden="false" customHeight="true" outlineLevel="0" collapsed="false">
      <c r="B13" s="5" t="s">
        <v>57</v>
      </c>
      <c r="C13" s="5"/>
      <c r="D13" s="5"/>
      <c r="E13" s="5"/>
      <c r="F13" s="5"/>
    </row>
    <row r="14" customFormat="false" ht="19.5" hidden="false" customHeight="true" outlineLevel="0" collapsed="false">
      <c r="B14" s="8" t="s">
        <v>58</v>
      </c>
      <c r="C14" s="24" t="n">
        <f aca="false">LN(C6/C7)</f>
        <v>0</v>
      </c>
      <c r="D14" s="25" t="s">
        <v>59</v>
      </c>
      <c r="E14" s="25"/>
      <c r="F14" s="25"/>
    </row>
    <row r="15" customFormat="false" ht="19.5" hidden="false" customHeight="true" outlineLevel="0" collapsed="false">
      <c r="B15" s="16" t="s">
        <v>60</v>
      </c>
      <c r="C15" s="24" t="n">
        <f aca="false">C8*SQRT(C10)</f>
        <v>0.125</v>
      </c>
      <c r="D15" s="26" t="s">
        <v>61</v>
      </c>
      <c r="E15" s="26"/>
      <c r="F15" s="26"/>
    </row>
    <row r="16" customFormat="false" ht="19.5" hidden="false" customHeight="true" outlineLevel="0" collapsed="false">
      <c r="B16" s="8" t="s">
        <v>28</v>
      </c>
      <c r="C16" s="24" t="n">
        <f aca="false">(LN(C6/C7)+(C9-C11+C8^2/2)*C10)/(C8*SQRT(C10))</f>
        <v>0.1725</v>
      </c>
      <c r="D16" s="25" t="s">
        <v>62</v>
      </c>
      <c r="E16" s="25"/>
      <c r="F16" s="25"/>
    </row>
    <row r="17" customFormat="false" ht="19.5" hidden="false" customHeight="true" outlineLevel="0" collapsed="false">
      <c r="B17" s="16" t="s">
        <v>63</v>
      </c>
      <c r="C17" s="24" t="n">
        <f aca="false">C16-C8*SQRT(C10)</f>
        <v>0.0475</v>
      </c>
      <c r="D17" s="26" t="s">
        <v>64</v>
      </c>
      <c r="E17" s="26"/>
      <c r="F17" s="26"/>
    </row>
    <row r="18" customFormat="false" ht="19.5" hidden="false" customHeight="true" outlineLevel="0" collapsed="false">
      <c r="B18" s="8" t="s">
        <v>65</v>
      </c>
      <c r="C18" s="24" t="n">
        <f aca="false">NORMSDIST(C16)</f>
        <v>0.568477769319923</v>
      </c>
      <c r="D18" s="25" t="s">
        <v>66</v>
      </c>
      <c r="E18" s="25"/>
      <c r="F18" s="25"/>
    </row>
    <row r="19" customFormat="false" ht="19.5" hidden="false" customHeight="true" outlineLevel="0" collapsed="false">
      <c r="B19" s="16" t="s">
        <v>67</v>
      </c>
      <c r="C19" s="24" t="n">
        <f aca="false">NORMSDIST(C17)</f>
        <v>0.518942634831391</v>
      </c>
      <c r="D19" s="26" t="s">
        <v>68</v>
      </c>
      <c r="E19" s="26"/>
      <c r="F19" s="26"/>
    </row>
    <row r="20" customFormat="false" ht="19.5" hidden="false" customHeight="true" outlineLevel="0" collapsed="false">
      <c r="B20" s="8" t="s">
        <v>69</v>
      </c>
      <c r="C20" s="24" t="n">
        <f aca="false">1-C18</f>
        <v>0.431522230680077</v>
      </c>
      <c r="D20" s="25" t="s">
        <v>70</v>
      </c>
      <c r="E20" s="25"/>
      <c r="F20" s="25"/>
    </row>
    <row r="21" customFormat="false" ht="19.5" hidden="false" customHeight="true" outlineLevel="0" collapsed="false">
      <c r="B21" s="16" t="s">
        <v>71</v>
      </c>
      <c r="C21" s="24" t="n">
        <f aca="false">1-C19</f>
        <v>0.48105736516861</v>
      </c>
      <c r="D21" s="26" t="s">
        <v>72</v>
      </c>
      <c r="E21" s="26"/>
      <c r="F21" s="26"/>
    </row>
    <row r="22" customFormat="false" ht="19.5" hidden="false" customHeight="true" outlineLevel="0" collapsed="false">
      <c r="B22" s="8" t="s">
        <v>73</v>
      </c>
      <c r="C22" s="24" t="n">
        <f aca="false">NORMDIST(C16,0,1,FALSE())</f>
        <v>0.393050703771473</v>
      </c>
      <c r="D22" s="25" t="s">
        <v>74</v>
      </c>
      <c r="E22" s="25"/>
      <c r="F22" s="25"/>
    </row>
    <row r="23" customFormat="false" ht="19.5" hidden="false" customHeight="true" outlineLevel="0" collapsed="false">
      <c r="B23" s="16" t="s">
        <v>75</v>
      </c>
      <c r="C23" s="24" t="n">
        <f aca="false">EXP(-(C9-C11)*C10)</f>
        <v>0.986344099467044</v>
      </c>
      <c r="D23" s="26" t="s">
        <v>76</v>
      </c>
      <c r="E23" s="26"/>
      <c r="F23" s="26"/>
    </row>
    <row r="24" customFormat="false" ht="9.75" hidden="false" customHeight="true" outlineLevel="0" collapsed="false"/>
    <row r="25" customFormat="false" ht="21.75" hidden="false" customHeight="true" outlineLevel="0" collapsed="false">
      <c r="B25" s="5" t="s">
        <v>77</v>
      </c>
      <c r="C25" s="5"/>
      <c r="D25" s="5"/>
      <c r="E25" s="5"/>
      <c r="F25" s="5"/>
    </row>
    <row r="26" customFormat="false" ht="19.5" hidden="false" customHeight="true" outlineLevel="0" collapsed="false">
      <c r="B26" s="6" t="s">
        <v>78</v>
      </c>
      <c r="C26" s="27" t="n">
        <f aca="false">C6*0.7</f>
        <v>1750</v>
      </c>
      <c r="D26" s="28" t="s">
        <v>79</v>
      </c>
      <c r="E26" s="28"/>
      <c r="F26" s="28"/>
    </row>
    <row r="27" customFormat="false" ht="19.5" hidden="false" customHeight="true" outlineLevel="0" collapsed="false">
      <c r="B27" s="16" t="s">
        <v>80</v>
      </c>
      <c r="C27" s="27" t="n">
        <f aca="false">C6*1.3</f>
        <v>3250</v>
      </c>
      <c r="D27" s="26" t="s">
        <v>81</v>
      </c>
      <c r="E27" s="26"/>
      <c r="F27" s="26"/>
    </row>
    <row r="28" customFormat="false" ht="19.5" hidden="false" customHeight="true" outlineLevel="0" collapsed="false">
      <c r="B28" s="6" t="s">
        <v>82</v>
      </c>
      <c r="C28" s="29" t="n">
        <v>50</v>
      </c>
      <c r="D28" s="28" t="s">
        <v>83</v>
      </c>
      <c r="E28" s="28"/>
      <c r="F28" s="28"/>
    </row>
    <row r="29" customFormat="false" ht="19.5" hidden="false" customHeight="true" outlineLevel="0" collapsed="false">
      <c r="B29" s="16" t="s">
        <v>84</v>
      </c>
      <c r="C29" s="30" t="n">
        <v>0.1</v>
      </c>
      <c r="D29" s="26" t="s">
        <v>85</v>
      </c>
      <c r="E29" s="26"/>
      <c r="F29" s="26"/>
    </row>
    <row r="30" customFormat="false" ht="19.5" hidden="false" customHeight="true" outlineLevel="0" collapsed="false">
      <c r="B30" s="6" t="s">
        <v>86</v>
      </c>
      <c r="C30" s="30" t="n">
        <v>0.5</v>
      </c>
      <c r="D30" s="28" t="s">
        <v>87</v>
      </c>
      <c r="E30" s="28"/>
      <c r="F30" s="28"/>
    </row>
    <row r="31" customFormat="false" ht="19.5" hidden="false" customHeight="true" outlineLevel="0" collapsed="false">
      <c r="B31" s="16" t="s">
        <v>88</v>
      </c>
      <c r="C31" s="30" t="n">
        <v>0.05</v>
      </c>
      <c r="D31" s="26" t="s">
        <v>89</v>
      </c>
      <c r="E31" s="26"/>
      <c r="F31" s="26"/>
    </row>
  </sheetData>
  <mergeCells count="27">
    <mergeCell ref="B2:F2"/>
    <mergeCell ref="B3:F3"/>
    <mergeCell ref="B5:F5"/>
    <mergeCell ref="D6:F6"/>
    <mergeCell ref="D7:F7"/>
    <mergeCell ref="D8:F8"/>
    <mergeCell ref="D9:F9"/>
    <mergeCell ref="D10:F10"/>
    <mergeCell ref="D11:F11"/>
    <mergeCell ref="B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B25:F25"/>
    <mergeCell ref="D26:F26"/>
    <mergeCell ref="D27:F27"/>
    <mergeCell ref="D28:F28"/>
    <mergeCell ref="D29:F29"/>
    <mergeCell ref="D30:F30"/>
    <mergeCell ref="D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7" min="5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8" t="s">
        <v>90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18" hidden="false" customHeight="true" outlineLevel="0" collapsed="false">
      <c r="B3" s="19" t="s">
        <v>91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9.75" hidden="false" customHeight="true" outlineLevel="0" collapsed="false"/>
    <row r="5" customFormat="false" ht="21.75" hidden="false" customHeight="true" outlineLevel="0" collapsed="false">
      <c r="B5" s="5" t="s">
        <v>92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27.75" hidden="false" customHeight="true" outlineLevel="0" collapsed="false">
      <c r="B6" s="31" t="s">
        <v>93</v>
      </c>
      <c r="C6" s="31" t="s">
        <v>94</v>
      </c>
      <c r="D6" s="32" t="s">
        <v>95</v>
      </c>
      <c r="E6" s="31"/>
      <c r="F6" s="32" t="s">
        <v>96</v>
      </c>
      <c r="G6" s="32" t="s">
        <v>95</v>
      </c>
    </row>
    <row r="7" customFormat="false" ht="21.75" hidden="false" customHeight="true" outlineLevel="0" collapsed="false">
      <c r="B7" s="16" t="s">
        <v>97</v>
      </c>
      <c r="C7" s="33" t="n">
        <f aca="false">Assumptions!C6*Assumptions!C18*EXP(-Assumptions!C11*Assumptions!C10)-Assumptions!C7*Assumptions!C23*Assumptions!C19</f>
        <v>138.005860205859</v>
      </c>
      <c r="D7" s="34" t="s">
        <v>98</v>
      </c>
      <c r="E7" s="35" t="n">
        <f aca="false">Assumptions!C7*Assumptions!C23*Assumptions!C21-Assumptions!C6*EXP(-Assumptions!C11*Assumptions!C10)*Assumptions!C20</f>
        <v>110.108302879819</v>
      </c>
      <c r="F7" s="36" t="s">
        <v>99</v>
      </c>
      <c r="G7" s="36"/>
    </row>
    <row r="8" customFormat="false" ht="21.75" hidden="false" customHeight="true" outlineLevel="0" collapsed="false">
      <c r="B8" s="8" t="s">
        <v>100</v>
      </c>
      <c r="C8" s="33" t="n">
        <f aca="false">MAX(Assumptions!C6-Assumptions!C7,0)</f>
        <v>0</v>
      </c>
      <c r="D8" s="37" t="s">
        <v>101</v>
      </c>
      <c r="E8" s="35" t="n">
        <f aca="false">MAX(Assumptions!C7-Assumptions!C6,0)</f>
        <v>0</v>
      </c>
      <c r="F8" s="38" t="s">
        <v>101</v>
      </c>
      <c r="G8" s="38"/>
    </row>
    <row r="9" customFormat="false" ht="21.75" hidden="false" customHeight="true" outlineLevel="0" collapsed="false">
      <c r="B9" s="16" t="s">
        <v>102</v>
      </c>
      <c r="C9" s="33" t="n">
        <f aca="false">C7-C8</f>
        <v>138.005860205859</v>
      </c>
      <c r="D9" s="34" t="s">
        <v>103</v>
      </c>
      <c r="E9" s="35" t="n">
        <f aca="false">E7-E8</f>
        <v>110.108302879819</v>
      </c>
      <c r="F9" s="36" t="s">
        <v>103</v>
      </c>
      <c r="G9" s="36"/>
    </row>
    <row r="10" customFormat="false" ht="21.75" hidden="false" customHeight="true" outlineLevel="0" collapsed="false">
      <c r="B10" s="8" t="s">
        <v>104</v>
      </c>
      <c r="C10" s="39" t="str">
        <f aca="false">IF(Assumptions!C6&gt;Assumptions!C7,"In-the-Money (ITM)",IF(Assumptions!C6=Assumptions!C7,"At-the-Money (ATM)","Out-of-the-Money (OTM)"))</f>
        <v>At-the-Money (ATM)</v>
      </c>
      <c r="D10" s="37" t="s">
        <v>105</v>
      </c>
      <c r="E10" s="40" t="str">
        <f aca="false">IF(Assumptions!C6&lt;Assumptions!C7,"In-the-Money (ITM)",IF(Assumptions!C6=Assumptions!C7,"At-the-Money (ATM)","Out-of-the-Money (OTM)"))</f>
        <v>At-the-Money (ATM)</v>
      </c>
      <c r="F10" s="38" t="s">
        <v>105</v>
      </c>
      <c r="G10" s="38"/>
    </row>
    <row r="11" customFormat="false" ht="9.75" hidden="false" customHeight="true" outlineLevel="0" collapsed="false"/>
    <row r="12" customFormat="false" ht="21.75" hidden="false" customHeight="true" outlineLevel="0" collapsed="false">
      <c r="B12" s="5" t="s">
        <v>106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27.75" hidden="false" customHeight="true" outlineLevel="0" collapsed="false">
      <c r="B13" s="31" t="s">
        <v>107</v>
      </c>
      <c r="C13" s="31" t="s">
        <v>108</v>
      </c>
      <c r="D13" s="31" t="s">
        <v>109</v>
      </c>
      <c r="E13" s="31" t="s">
        <v>110</v>
      </c>
      <c r="F13" s="31" t="s">
        <v>111</v>
      </c>
      <c r="G13" s="31" t="s">
        <v>112</v>
      </c>
      <c r="H13" s="31" t="s">
        <v>113</v>
      </c>
    </row>
    <row r="14" customFormat="false" ht="27.75" hidden="false" customHeight="true" outlineLevel="0" collapsed="false">
      <c r="B14" s="41" t="s">
        <v>114</v>
      </c>
      <c r="C14" s="42" t="s">
        <v>115</v>
      </c>
      <c r="D14" s="43" t="n">
        <f aca="false">Assumptions!C18</f>
        <v>0.568477769319923</v>
      </c>
      <c r="E14" s="44" t="n">
        <f aca="false">Assumptions!C18-1</f>
        <v>-0.431522230680077</v>
      </c>
      <c r="F14" s="45" t="s">
        <v>116</v>
      </c>
      <c r="G14" s="46" t="s">
        <v>117</v>
      </c>
      <c r="H14" s="46"/>
      <c r="I14" s="46"/>
      <c r="J14" s="47" t="s">
        <v>118</v>
      </c>
      <c r="K14" s="47"/>
      <c r="L14" s="47"/>
    </row>
    <row r="15" customFormat="false" ht="27.75" hidden="false" customHeight="true" outlineLevel="0" collapsed="false">
      <c r="B15" s="48" t="s">
        <v>119</v>
      </c>
      <c r="C15" s="49" t="s">
        <v>120</v>
      </c>
      <c r="D15" s="43" t="n">
        <f aca="false">Assumptions!C22/(Assumptions!C6*Assumptions!C8*SQRT(Assumptions!C10))</f>
        <v>0.00125776225206871</v>
      </c>
      <c r="E15" s="44" t="n">
        <f aca="false">Assumptions!C22/(Assumptions!C6*Assumptions!C8*SQRT(Assumptions!C10))</f>
        <v>0.00125776225206871</v>
      </c>
      <c r="F15" s="50" t="s">
        <v>121</v>
      </c>
      <c r="G15" s="51" t="s">
        <v>122</v>
      </c>
      <c r="H15" s="51"/>
      <c r="I15" s="51"/>
      <c r="J15" s="52" t="s">
        <v>123</v>
      </c>
      <c r="K15" s="52"/>
      <c r="L15" s="52"/>
    </row>
    <row r="16" customFormat="false" ht="27.75" hidden="false" customHeight="true" outlineLevel="0" collapsed="false">
      <c r="B16" s="53" t="s">
        <v>124</v>
      </c>
      <c r="C16" s="54" t="s">
        <v>125</v>
      </c>
      <c r="D16" s="43" t="n">
        <f aca="false">Assumptions!C6*Assumptions!C22*SQRT(Assumptions!C10)/100</f>
        <v>4.91313379714341</v>
      </c>
      <c r="E16" s="44" t="n">
        <f aca="false">Assumptions!C6*Assumptions!C22*SQRT(Assumptions!C10)/100</f>
        <v>4.91313379714341</v>
      </c>
      <c r="F16" s="55" t="s">
        <v>126</v>
      </c>
      <c r="G16" s="56" t="s">
        <v>127</v>
      </c>
      <c r="H16" s="56"/>
      <c r="I16" s="56"/>
      <c r="J16" s="57" t="s">
        <v>128</v>
      </c>
      <c r="K16" s="57"/>
      <c r="L16" s="57"/>
    </row>
    <row r="17" customFormat="false" ht="27.75" hidden="false" customHeight="true" outlineLevel="0" collapsed="false">
      <c r="B17" s="58" t="s">
        <v>129</v>
      </c>
      <c r="C17" s="59" t="s">
        <v>130</v>
      </c>
      <c r="D17" s="43" t="n">
        <f aca="false">(-(Assumptions!C6*Assumptions!C22*Assumptions!C8)/(2*SQRT(Assumptions!C10))-(Assumptions!C9-Assumptions!C11)*Assumptions!C7*Assumptions!C23*Assumptions!C19)/365</f>
        <v>-0.865854494954784</v>
      </c>
      <c r="E17" s="44" t="n">
        <f aca="false">(-(Assumptions!C6*Assumptions!C22*Assumptions!C8)/(2*SQRT(Assumptions!C10))+(Assumptions!C9-Assumptions!C11)*Assumptions!C7*Assumptions!C23*Assumptions!C21)/365</f>
        <v>-0.494286512278842</v>
      </c>
      <c r="F17" s="60" t="s">
        <v>131</v>
      </c>
      <c r="G17" s="61" t="s">
        <v>132</v>
      </c>
      <c r="H17" s="61"/>
      <c r="I17" s="61"/>
      <c r="J17" s="62" t="s">
        <v>133</v>
      </c>
      <c r="K17" s="62"/>
      <c r="L17" s="62"/>
    </row>
    <row r="18" customFormat="false" ht="27.75" hidden="false" customHeight="true" outlineLevel="0" collapsed="false">
      <c r="B18" s="63" t="s">
        <v>134</v>
      </c>
      <c r="C18" s="64" t="s">
        <v>135</v>
      </c>
      <c r="D18" s="43" t="n">
        <f aca="false">Assumptions!C7*Assumptions!C10*Assumptions!C23*Assumptions!C19*0.01</f>
        <v>3.19910003642389</v>
      </c>
      <c r="E18" s="44" t="n">
        <f aca="false">-Assumptions!C7*Assumptions!C10*Assumptions!C23*Assumptions!C21*0.01</f>
        <v>-2.96555058524513</v>
      </c>
      <c r="F18" s="65" t="s">
        <v>136</v>
      </c>
      <c r="G18" s="66" t="s">
        <v>137</v>
      </c>
      <c r="H18" s="66"/>
      <c r="I18" s="66"/>
      <c r="J18" s="67" t="s">
        <v>138</v>
      </c>
      <c r="K18" s="67"/>
      <c r="L18" s="67"/>
    </row>
    <row r="19" customFormat="false" ht="9.75" hidden="false" customHeight="true" outlineLevel="0" collapsed="false"/>
    <row r="20" customFormat="false" ht="21.75" hidden="false" customHeight="true" outlineLevel="0" collapsed="false">
      <c r="B20" s="5" t="s">
        <v>139</v>
      </c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27.75" hidden="false" customHeight="true" outlineLevel="0" collapsed="false">
      <c r="B21" s="68" t="s">
        <v>140</v>
      </c>
      <c r="C21" s="68"/>
      <c r="D21" s="68"/>
      <c r="E21" s="69" t="s">
        <v>141</v>
      </c>
      <c r="F21" s="68" t="s">
        <v>142</v>
      </c>
      <c r="G21" s="68"/>
      <c r="H21" s="68"/>
      <c r="I21" s="31" t="s">
        <v>143</v>
      </c>
    </row>
    <row r="22" customFormat="false" ht="21.75" hidden="false" customHeight="true" outlineLevel="0" collapsed="false">
      <c r="B22" s="8" t="s">
        <v>144</v>
      </c>
      <c r="C22" s="70" t="n">
        <f aca="false">C7+Assumptions!C7*Assumptions!C23</f>
        <v>2603.86610887347</v>
      </c>
      <c r="D22" s="70"/>
      <c r="E22" s="71" t="s">
        <v>145</v>
      </c>
      <c r="F22" s="72" t="s">
        <v>146</v>
      </c>
      <c r="G22" s="73" t="n">
        <f aca="false">E7+Assumptions!C6*EXP(-Assumptions!C11*Assumptions!C10)</f>
        <v>2603.86610887347</v>
      </c>
      <c r="H22" s="73"/>
      <c r="I22" s="74" t="n">
        <f aca="false">ABS(C22-G22)</f>
        <v>0</v>
      </c>
      <c r="J22" s="75" t="s">
        <v>147</v>
      </c>
      <c r="K22" s="75"/>
      <c r="L22" s="75"/>
    </row>
  </sheetData>
  <mergeCells count="24">
    <mergeCell ref="B2:L2"/>
    <mergeCell ref="B3:L3"/>
    <mergeCell ref="B5:L5"/>
    <mergeCell ref="F7:G7"/>
    <mergeCell ref="F8:G8"/>
    <mergeCell ref="F9:G9"/>
    <mergeCell ref="F10:G10"/>
    <mergeCell ref="B12:L12"/>
    <mergeCell ref="G14:I14"/>
    <mergeCell ref="J14:L14"/>
    <mergeCell ref="G15:I15"/>
    <mergeCell ref="J15:L15"/>
    <mergeCell ref="G16:I16"/>
    <mergeCell ref="J16:L16"/>
    <mergeCell ref="G17:I17"/>
    <mergeCell ref="J17:L17"/>
    <mergeCell ref="G18:I18"/>
    <mergeCell ref="J18:L18"/>
    <mergeCell ref="B20:L20"/>
    <mergeCell ref="B21:D21"/>
    <mergeCell ref="F21:H21"/>
    <mergeCell ref="C22:D22"/>
    <mergeCell ref="G22:H22"/>
    <mergeCell ref="J22:L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11" min="3" style="1" width="11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76" t="s">
        <v>148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customFormat="false" ht="18" hidden="false" customHeight="true" outlineLevel="0" collapsed="false">
      <c r="B3" s="19" t="s">
        <v>149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customFormat="false" ht="9.75" hidden="false" customHeight="true" outlineLevel="0" collapsed="false"/>
    <row r="5" customFormat="false" ht="21.75" hidden="false" customHeight="true" outlineLevel="0" collapsed="false">
      <c r="B5" s="77" t="s">
        <v>150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</row>
    <row r="6" customFormat="false" ht="21.75" hidden="false" customHeight="true" outlineLevel="0" collapsed="false">
      <c r="B6" s="78" t="s">
        <v>151</v>
      </c>
      <c r="C6" s="79" t="s">
        <v>152</v>
      </c>
      <c r="D6" s="79" t="s">
        <v>153</v>
      </c>
      <c r="E6" s="79" t="s">
        <v>154</v>
      </c>
      <c r="F6" s="79" t="s">
        <v>155</v>
      </c>
      <c r="G6" s="79" t="s">
        <v>156</v>
      </c>
      <c r="H6" s="79" t="s">
        <v>157</v>
      </c>
      <c r="I6" s="79" t="s">
        <v>158</v>
      </c>
      <c r="J6" s="79" t="s">
        <v>159</v>
      </c>
      <c r="K6" s="79" t="s">
        <v>160</v>
      </c>
    </row>
    <row r="7" customFormat="false" ht="15.75" hidden="false" customHeight="true" outlineLevel="0" collapsed="false">
      <c r="B7" s="80" t="n">
        <v>1750</v>
      </c>
      <c r="C7" s="81" t="n">
        <f aca="false">1750*EXP(-Assumptions!$C$11*Assumptions!$C$10)*NORMSDIST((LN(1750/Assumptions!$C$7)+(Assumptions!$C$9-Assumptions!$C$11+0.1^2/2)*Assumptions!$C$10)/(0.1*SQRT(Assumptions!$C$10)))-Assumptions!$C$7*EXP(-Assumptions!$C$9*Assumptions!$C$10)*NORMSDIST(((LN(1750/Assumptions!$C$7)+(Assumptions!$C$9-Assumptions!$C$11+0.1^2/2)*Assumptions!$C$10)/(0.1*SQRT(Assumptions!$C$10)))-0.1*SQRT(Assumptions!$C$10))</f>
        <v>5.05171312968283E-011</v>
      </c>
      <c r="D7" s="81" t="n">
        <f aca="false">1750*EXP(-Assumptions!$C$11*Assumptions!$C$10)*NORMSDIST((LN(1750/Assumptions!$C$7)+(Assumptions!$C$9-Assumptions!$C$11+0.15^2/2)*Assumptions!$C$10)/(0.15*SQRT(Assumptions!$C$10)))-Assumptions!$C$7*EXP(-Assumptions!$C$9*Assumptions!$C$10)*NORMSDIST(((LN(1750/Assumptions!$C$7)+(Assumptions!$C$9-Assumptions!$C$11+0.15^2/2)*Assumptions!$C$10)/(0.15*SQRT(Assumptions!$C$10)))-0.15*SQRT(Assumptions!$C$10))</f>
        <v>7.54889968669192E-005</v>
      </c>
      <c r="E7" s="81" t="n">
        <f aca="false">1750*EXP(-Assumptions!$C$11*Assumptions!$C$10)*NORMSDIST((LN(1750/Assumptions!$C$7)+(Assumptions!$C$9-Assumptions!$C$11+0.2^2/2)*Assumptions!$C$10)/(0.2*SQRT(Assumptions!$C$10)))-Assumptions!$C$7*EXP(-Assumptions!$C$9*Assumptions!$C$10)*NORMSDIST(((LN(1750/Assumptions!$C$7)+(Assumptions!$C$9-Assumptions!$C$11+0.2^2/2)*Assumptions!$C$10)/(0.2*SQRT(Assumptions!$C$10)))-0.2*SQRT(Assumptions!$C$10))</f>
        <v>0.016002861381296</v>
      </c>
      <c r="F7" s="81" t="n">
        <f aca="false">1750*EXP(-Assumptions!$C$11*Assumptions!$C$10)*NORMSDIST((LN(1750/Assumptions!$C$7)+(Assumptions!$C$9-Assumptions!$C$11+0.25^2/2)*Assumptions!$C$10)/(0.25*SQRT(Assumptions!$C$10)))-Assumptions!$C$7*EXP(-Assumptions!$C$9*Assumptions!$C$10)*NORMSDIST(((LN(1750/Assumptions!$C$7)+(Assumptions!$C$9-Assumptions!$C$11+0.25^2/2)*Assumptions!$C$10)/(0.25*SQRT(Assumptions!$C$10)))-0.25*SQRT(Assumptions!$C$10))</f>
        <v>0.237662394957636</v>
      </c>
      <c r="G7" s="81" t="n">
        <f aca="false">1750*EXP(-Assumptions!$C$11*Assumptions!$C$10)*NORMSDIST((LN(1750/Assumptions!$C$7)+(Assumptions!$C$9-Assumptions!$C$11+0.3^2/2)*Assumptions!$C$10)/(0.3*SQRT(Assumptions!$C$10)))-Assumptions!$C$7*EXP(-Assumptions!$C$9*Assumptions!$C$10)*NORMSDIST(((LN(1750/Assumptions!$C$7)+(Assumptions!$C$9-Assumptions!$C$11+0.3^2/2)*Assumptions!$C$10)/(0.3*SQRT(Assumptions!$C$10)))-0.3*SQRT(Assumptions!$C$10))</f>
        <v>1.18234567724853</v>
      </c>
      <c r="H7" s="81" t="n">
        <f aca="false">1750*EXP(-Assumptions!$C$11*Assumptions!$C$10)*NORMSDIST((LN(1750/Assumptions!$C$7)+(Assumptions!$C$9-Assumptions!$C$11+0.35^2/2)*Assumptions!$C$10)/(0.35*SQRT(Assumptions!$C$10)))-Assumptions!$C$7*EXP(-Assumptions!$C$9*Assumptions!$C$10)*NORMSDIST(((LN(1750/Assumptions!$C$7)+(Assumptions!$C$9-Assumptions!$C$11+0.35^2/2)*Assumptions!$C$10)/(0.35*SQRT(Assumptions!$C$10)))-0.35*SQRT(Assumptions!$C$10))</f>
        <v>3.4186435946751</v>
      </c>
      <c r="I7" s="81" t="n">
        <f aca="false">1750*EXP(-Assumptions!$C$11*Assumptions!$C$10)*NORMSDIST((LN(1750/Assumptions!$C$7)+(Assumptions!$C$9-Assumptions!$C$11+0.4^2/2)*Assumptions!$C$10)/(0.4*SQRT(Assumptions!$C$10)))-Assumptions!$C$7*EXP(-Assumptions!$C$9*Assumptions!$C$10)*NORMSDIST(((LN(1750/Assumptions!$C$7)+(Assumptions!$C$9-Assumptions!$C$11+0.4^2/2)*Assumptions!$C$10)/(0.4*SQRT(Assumptions!$C$10)))-0.4*SQRT(Assumptions!$C$10))</f>
        <v>7.28550177421482</v>
      </c>
      <c r="J7" s="81" t="n">
        <f aca="false">1750*EXP(-Assumptions!$C$11*Assumptions!$C$10)*NORMSDIST((LN(1750/Assumptions!$C$7)+(Assumptions!$C$9-Assumptions!$C$11+0.45^2/2)*Assumptions!$C$10)/(0.45*SQRT(Assumptions!$C$10)))-Assumptions!$C$7*EXP(-Assumptions!$C$9*Assumptions!$C$10)*NORMSDIST(((LN(1750/Assumptions!$C$7)+(Assumptions!$C$9-Assumptions!$C$11+0.45^2/2)*Assumptions!$C$10)/(0.45*SQRT(Assumptions!$C$10)))-0.45*SQRT(Assumptions!$C$10))</f>
        <v>12.8707358514443</v>
      </c>
      <c r="K7" s="81" t="n">
        <f aca="false">1750*EXP(-Assumptions!$C$11*Assumptions!$C$10)*NORMSDIST((LN(1750/Assumptions!$C$7)+(Assumptions!$C$9-Assumptions!$C$11+0.5^2/2)*Assumptions!$C$10)/(0.5*SQRT(Assumptions!$C$10)))-Assumptions!$C$7*EXP(-Assumptions!$C$9*Assumptions!$C$10)*NORMSDIST(((LN(1750/Assumptions!$C$7)+(Assumptions!$C$9-Assumptions!$C$11+0.5^2/2)*Assumptions!$C$10)/(0.5*SQRT(Assumptions!$C$10)))-0.5*SQRT(Assumptions!$C$10))</f>
        <v>20.1000047489584</v>
      </c>
    </row>
    <row r="8" customFormat="false" ht="15.75" hidden="false" customHeight="true" outlineLevel="0" collapsed="false">
      <c r="B8" s="82" t="n">
        <v>1800</v>
      </c>
      <c r="C8" s="83" t="n">
        <f aca="false">1800*EXP(-Assumptions!$C$11*Assumptions!$C$10)*NORMSDIST((LN(1800/Assumptions!$C$7)+(Assumptions!$C$9-Assumptions!$C$11+0.1^2/2)*Assumptions!$C$10)/(0.1*SQRT(Assumptions!$C$10)))-Assumptions!$C$7*EXP(-Assumptions!$C$9*Assumptions!$C$10)*NORMSDIST(((LN(1800/Assumptions!$C$7)+(Assumptions!$C$9-Assumptions!$C$11+0.1^2/2)*Assumptions!$C$10)/(0.1*SQRT(Assumptions!$C$10)))-0.1*SQRT(Assumptions!$C$10))</f>
        <v>2.44789261301855E-009</v>
      </c>
      <c r="D8" s="83" t="n">
        <f aca="false">1800*EXP(-Assumptions!$C$11*Assumptions!$C$10)*NORMSDIST((LN(1800/Assumptions!$C$7)+(Assumptions!$C$9-Assumptions!$C$11+0.15^2/2)*Assumptions!$C$10)/(0.15*SQRT(Assumptions!$C$10)))-Assumptions!$C$7*EXP(-Assumptions!$C$9*Assumptions!$C$10)*NORMSDIST(((LN(1800/Assumptions!$C$7)+(Assumptions!$C$9-Assumptions!$C$11+0.15^2/2)*Assumptions!$C$10)/(0.15*SQRT(Assumptions!$C$10)))-0.15*SQRT(Assumptions!$C$10))</f>
        <v>0.000462300839188929</v>
      </c>
      <c r="E8" s="83" t="n">
        <f aca="false">1800*EXP(-Assumptions!$C$11*Assumptions!$C$10)*NORMSDIST((LN(1800/Assumptions!$C$7)+(Assumptions!$C$9-Assumptions!$C$11+0.2^2/2)*Assumptions!$C$10)/(0.2*SQRT(Assumptions!$C$10)))-Assumptions!$C$7*EXP(-Assumptions!$C$9*Assumptions!$C$10)*NORMSDIST(((LN(1800/Assumptions!$C$7)+(Assumptions!$C$9-Assumptions!$C$11+0.2^2/2)*Assumptions!$C$10)/(0.2*SQRT(Assumptions!$C$10)))-0.2*SQRT(Assumptions!$C$10))</f>
        <v>0.0471833340944072</v>
      </c>
      <c r="F8" s="83" t="n">
        <f aca="false">1800*EXP(-Assumptions!$C$11*Assumptions!$C$10)*NORMSDIST((LN(1800/Assumptions!$C$7)+(Assumptions!$C$9-Assumptions!$C$11+0.25^2/2)*Assumptions!$C$10)/(0.25*SQRT(Assumptions!$C$10)))-Assumptions!$C$7*EXP(-Assumptions!$C$9*Assumptions!$C$10)*NORMSDIST(((LN(1800/Assumptions!$C$7)+(Assumptions!$C$9-Assumptions!$C$11+0.25^2/2)*Assumptions!$C$10)/(0.25*SQRT(Assumptions!$C$10)))-0.25*SQRT(Assumptions!$C$10))</f>
        <v>0.496981086567585</v>
      </c>
      <c r="G8" s="83" t="n">
        <f aca="false">1800*EXP(-Assumptions!$C$11*Assumptions!$C$10)*NORMSDIST((LN(1800/Assumptions!$C$7)+(Assumptions!$C$9-Assumptions!$C$11+0.3^2/2)*Assumptions!$C$10)/(0.3*SQRT(Assumptions!$C$10)))-Assumptions!$C$7*EXP(-Assumptions!$C$9*Assumptions!$C$10)*NORMSDIST(((LN(1800/Assumptions!$C$7)+(Assumptions!$C$9-Assumptions!$C$11+0.3^2/2)*Assumptions!$C$10)/(0.3*SQRT(Assumptions!$C$10)))-0.3*SQRT(Assumptions!$C$10))</f>
        <v>2.04366781623227</v>
      </c>
      <c r="H8" s="83" t="n">
        <f aca="false">1800*EXP(-Assumptions!$C$11*Assumptions!$C$10)*NORMSDIST((LN(1800/Assumptions!$C$7)+(Assumptions!$C$9-Assumptions!$C$11+0.35^2/2)*Assumptions!$C$10)/(0.35*SQRT(Assumptions!$C$10)))-Assumptions!$C$7*EXP(-Assumptions!$C$9*Assumptions!$C$10)*NORMSDIST(((LN(1800/Assumptions!$C$7)+(Assumptions!$C$9-Assumptions!$C$11+0.35^2/2)*Assumptions!$C$10)/(0.35*SQRT(Assumptions!$C$10)))-0.35*SQRT(Assumptions!$C$10))</f>
        <v>5.25331613446829</v>
      </c>
      <c r="I8" s="83" t="n">
        <f aca="false">1800*EXP(-Assumptions!$C$11*Assumptions!$C$10)*NORMSDIST((LN(1800/Assumptions!$C$7)+(Assumptions!$C$9-Assumptions!$C$11+0.4^2/2)*Assumptions!$C$10)/(0.4*SQRT(Assumptions!$C$10)))-Assumptions!$C$7*EXP(-Assumptions!$C$9*Assumptions!$C$10)*NORMSDIST(((LN(1800/Assumptions!$C$7)+(Assumptions!$C$9-Assumptions!$C$11+0.4^2/2)*Assumptions!$C$10)/(0.4*SQRT(Assumptions!$C$10)))-0.4*SQRT(Assumptions!$C$10))</f>
        <v>10.3510717112491</v>
      </c>
      <c r="J8" s="83" t="n">
        <f aca="false">1800*EXP(-Assumptions!$C$11*Assumptions!$C$10)*NORMSDIST((LN(1800/Assumptions!$C$7)+(Assumptions!$C$9-Assumptions!$C$11+0.45^2/2)*Assumptions!$C$10)/(0.45*SQRT(Assumptions!$C$10)))-Assumptions!$C$7*EXP(-Assumptions!$C$9*Assumptions!$C$10)*NORMSDIST(((LN(1800/Assumptions!$C$7)+(Assumptions!$C$9-Assumptions!$C$11+0.45^2/2)*Assumptions!$C$10)/(0.45*SQRT(Assumptions!$C$10)))-0.45*SQRT(Assumptions!$C$10))</f>
        <v>17.3024301764337</v>
      </c>
      <c r="K8" s="83" t="n">
        <f aca="false">1800*EXP(-Assumptions!$C$11*Assumptions!$C$10)*NORMSDIST((LN(1800/Assumptions!$C$7)+(Assumptions!$C$9-Assumptions!$C$11+0.5^2/2)*Assumptions!$C$10)/(0.5*SQRT(Assumptions!$C$10)))-Assumptions!$C$7*EXP(-Assumptions!$C$9*Assumptions!$C$10)*NORMSDIST(((LN(1800/Assumptions!$C$7)+(Assumptions!$C$9-Assumptions!$C$11+0.5^2/2)*Assumptions!$C$10)/(0.5*SQRT(Assumptions!$C$10)))-0.5*SQRT(Assumptions!$C$10))</f>
        <v>25.9418072802023</v>
      </c>
    </row>
    <row r="9" customFormat="false" ht="15.75" hidden="false" customHeight="true" outlineLevel="0" collapsed="false">
      <c r="B9" s="80" t="n">
        <v>1850</v>
      </c>
      <c r="C9" s="81" t="n">
        <f aca="false">1850*EXP(-Assumptions!$C$11*Assumptions!$C$10)*NORMSDIST((LN(1850/Assumptions!$C$7)+(Assumptions!$C$9-Assumptions!$C$11+0.1^2/2)*Assumptions!$C$10)/(0.1*SQRT(Assumptions!$C$10)))-Assumptions!$C$7*EXP(-Assumptions!$C$9*Assumptions!$C$10)*NORMSDIST(((LN(1850/Assumptions!$C$7)+(Assumptions!$C$9-Assumptions!$C$11+0.1^2/2)*Assumptions!$C$10)/(0.1*SQRT(Assumptions!$C$10)))-0.1*SQRT(Assumptions!$C$10))</f>
        <v>7.96558647266021E-008</v>
      </c>
      <c r="D9" s="81" t="n">
        <f aca="false">1850*EXP(-Assumptions!$C$11*Assumptions!$C$10)*NORMSDIST((LN(1850/Assumptions!$C$7)+(Assumptions!$C$9-Assumptions!$C$11+0.15^2/2)*Assumptions!$C$10)/(0.15*SQRT(Assumptions!$C$10)))-Assumptions!$C$7*EXP(-Assumptions!$C$9*Assumptions!$C$10)*NORMSDIST(((LN(1850/Assumptions!$C$7)+(Assumptions!$C$9-Assumptions!$C$11+0.15^2/2)*Assumptions!$C$10)/(0.15*SQRT(Assumptions!$C$10)))-0.15*SQRT(Assumptions!$C$10))</f>
        <v>0.00237788417417853</v>
      </c>
      <c r="E9" s="81" t="n">
        <f aca="false">1850*EXP(-Assumptions!$C$11*Assumptions!$C$10)*NORMSDIST((LN(1850/Assumptions!$C$7)+(Assumptions!$C$9-Assumptions!$C$11+0.2^2/2)*Assumptions!$C$10)/(0.2*SQRT(Assumptions!$C$10)))-Assumptions!$C$7*EXP(-Assumptions!$C$9*Assumptions!$C$10)*NORMSDIST(((LN(1850/Assumptions!$C$7)+(Assumptions!$C$9-Assumptions!$C$11+0.2^2/2)*Assumptions!$C$10)/(0.2*SQRT(Assumptions!$C$10)))-0.2*SQRT(Assumptions!$C$10))</f>
        <v>0.126237887896794</v>
      </c>
      <c r="F9" s="81" t="n">
        <f aca="false">1850*EXP(-Assumptions!$C$11*Assumptions!$C$10)*NORMSDIST((LN(1850/Assumptions!$C$7)+(Assumptions!$C$9-Assumptions!$C$11+0.25^2/2)*Assumptions!$C$10)/(0.25*SQRT(Assumptions!$C$10)))-Assumptions!$C$7*EXP(-Assumptions!$C$9*Assumptions!$C$10)*NORMSDIST(((LN(1850/Assumptions!$C$7)+(Assumptions!$C$9-Assumptions!$C$11+0.25^2/2)*Assumptions!$C$10)/(0.25*SQRT(Assumptions!$C$10)))-0.25*SQRT(Assumptions!$C$10))</f>
        <v>0.976891164687878</v>
      </c>
      <c r="G9" s="81" t="n">
        <f aca="false">1850*EXP(-Assumptions!$C$11*Assumptions!$C$10)*NORMSDIST((LN(1850/Assumptions!$C$7)+(Assumptions!$C$9-Assumptions!$C$11+0.3^2/2)*Assumptions!$C$10)/(0.3*SQRT(Assumptions!$C$10)))-Assumptions!$C$7*EXP(-Assumptions!$C$9*Assumptions!$C$10)*NORMSDIST(((LN(1850/Assumptions!$C$7)+(Assumptions!$C$9-Assumptions!$C$11+0.3^2/2)*Assumptions!$C$10)/(0.3*SQRT(Assumptions!$C$10)))-0.3*SQRT(Assumptions!$C$10))</f>
        <v>3.3837865681138</v>
      </c>
      <c r="H9" s="81" t="n">
        <f aca="false">1850*EXP(-Assumptions!$C$11*Assumptions!$C$10)*NORMSDIST((LN(1850/Assumptions!$C$7)+(Assumptions!$C$9-Assumptions!$C$11+0.35^2/2)*Assumptions!$C$10)/(0.35*SQRT(Assumptions!$C$10)))-Assumptions!$C$7*EXP(-Assumptions!$C$9*Assumptions!$C$10)*NORMSDIST(((LN(1850/Assumptions!$C$7)+(Assumptions!$C$9-Assumptions!$C$11+0.35^2/2)*Assumptions!$C$10)/(0.35*SQRT(Assumptions!$C$10)))-0.35*SQRT(Assumptions!$C$10))</f>
        <v>7.82025766617346</v>
      </c>
      <c r="I9" s="81" t="n">
        <f aca="false">1850*EXP(-Assumptions!$C$11*Assumptions!$C$10)*NORMSDIST((LN(1850/Assumptions!$C$7)+(Assumptions!$C$9-Assumptions!$C$11+0.4^2/2)*Assumptions!$C$10)/(0.4*SQRT(Assumptions!$C$10)))-Assumptions!$C$7*EXP(-Assumptions!$C$9*Assumptions!$C$10)*NORMSDIST(((LN(1850/Assumptions!$C$7)+(Assumptions!$C$9-Assumptions!$C$11+0.4^2/2)*Assumptions!$C$10)/(0.4*SQRT(Assumptions!$C$10)))-0.4*SQRT(Assumptions!$C$10))</f>
        <v>14.350055198643</v>
      </c>
      <c r="J9" s="81" t="n">
        <f aca="false">1850*EXP(-Assumptions!$C$11*Assumptions!$C$10)*NORMSDIST((LN(1850/Assumptions!$C$7)+(Assumptions!$C$9-Assumptions!$C$11+0.45^2/2)*Assumptions!$C$10)/(0.45*SQRT(Assumptions!$C$10)))-Assumptions!$C$7*EXP(-Assumptions!$C$9*Assumptions!$C$10)*NORMSDIST(((LN(1850/Assumptions!$C$7)+(Assumptions!$C$9-Assumptions!$C$11+0.45^2/2)*Assumptions!$C$10)/(0.45*SQRT(Assumptions!$C$10)))-0.45*SQRT(Assumptions!$C$10))</f>
        <v>22.8078737937718</v>
      </c>
      <c r="K9" s="81" t="n">
        <f aca="false">1850*EXP(-Assumptions!$C$11*Assumptions!$C$10)*NORMSDIST((LN(1850/Assumptions!$C$7)+(Assumptions!$C$9-Assumptions!$C$11+0.5^2/2)*Assumptions!$C$10)/(0.5*SQRT(Assumptions!$C$10)))-Assumptions!$C$7*EXP(-Assumptions!$C$9*Assumptions!$C$10)*NORMSDIST(((LN(1850/Assumptions!$C$7)+(Assumptions!$C$9-Assumptions!$C$11+0.5^2/2)*Assumptions!$C$10)/(0.5*SQRT(Assumptions!$C$10)))-0.5*SQRT(Assumptions!$C$10))</f>
        <v>32.9453416473228</v>
      </c>
    </row>
    <row r="10" customFormat="false" ht="15.75" hidden="false" customHeight="true" outlineLevel="0" collapsed="false">
      <c r="B10" s="82" t="n">
        <v>1900</v>
      </c>
      <c r="C10" s="83" t="n">
        <f aca="false">1900*EXP(-Assumptions!$C$11*Assumptions!$C$10)*NORMSDIST((LN(1900/Assumptions!$C$7)+(Assumptions!$C$9-Assumptions!$C$11+0.1^2/2)*Assumptions!$C$10)/(0.1*SQRT(Assumptions!$C$10)))-Assumptions!$C$7*EXP(-Assumptions!$C$9*Assumptions!$C$10)*NORMSDIST(((LN(1900/Assumptions!$C$7)+(Assumptions!$C$9-Assumptions!$C$11+0.1^2/2)*Assumptions!$C$10)/(0.1*SQRT(Assumptions!$C$10)))-0.1*SQRT(Assumptions!$C$10))</f>
        <v>1.79520185507735E-006</v>
      </c>
      <c r="D10" s="83" t="n">
        <f aca="false">1900*EXP(-Assumptions!$C$11*Assumptions!$C$10)*NORMSDIST((LN(1900/Assumptions!$C$7)+(Assumptions!$C$9-Assumptions!$C$11+0.15^2/2)*Assumptions!$C$10)/(0.15*SQRT(Assumptions!$C$10)))-Assumptions!$C$7*EXP(-Assumptions!$C$9*Assumptions!$C$10)*NORMSDIST(((LN(1900/Assumptions!$C$7)+(Assumptions!$C$9-Assumptions!$C$11+0.15^2/2)*Assumptions!$C$10)/(0.15*SQRT(Assumptions!$C$10)))-0.15*SQRT(Assumptions!$C$10))</f>
        <v>0.0104166788748905</v>
      </c>
      <c r="E10" s="83" t="n">
        <f aca="false">1900*EXP(-Assumptions!$C$11*Assumptions!$C$10)*NORMSDIST((LN(1900/Assumptions!$C$7)+(Assumptions!$C$9-Assumptions!$C$11+0.2^2/2)*Assumptions!$C$10)/(0.2*SQRT(Assumptions!$C$10)))-Assumptions!$C$7*EXP(-Assumptions!$C$9*Assumptions!$C$10)*NORMSDIST(((LN(1900/Assumptions!$C$7)+(Assumptions!$C$9-Assumptions!$C$11+0.2^2/2)*Assumptions!$C$10)/(0.2*SQRT(Assumptions!$C$10)))-0.2*SQRT(Assumptions!$C$10))</f>
        <v>0.308900043927492</v>
      </c>
      <c r="F10" s="83" t="n">
        <f aca="false">1900*EXP(-Assumptions!$C$11*Assumptions!$C$10)*NORMSDIST((LN(1900/Assumptions!$C$7)+(Assumptions!$C$9-Assumptions!$C$11+0.25^2/2)*Assumptions!$C$10)/(0.25*SQRT(Assumptions!$C$10)))-Assumptions!$C$7*EXP(-Assumptions!$C$9*Assumptions!$C$10)*NORMSDIST(((LN(1900/Assumptions!$C$7)+(Assumptions!$C$9-Assumptions!$C$11+0.25^2/2)*Assumptions!$C$10)/(0.25*SQRT(Assumptions!$C$10)))-0.25*SQRT(Assumptions!$C$10))</f>
        <v>1.81410474276284</v>
      </c>
      <c r="G10" s="83" t="n">
        <f aca="false">1900*EXP(-Assumptions!$C$11*Assumptions!$C$10)*NORMSDIST((LN(1900/Assumptions!$C$7)+(Assumptions!$C$9-Assumptions!$C$11+0.3^2/2)*Assumptions!$C$10)/(0.3*SQRT(Assumptions!$C$10)))-Assumptions!$C$7*EXP(-Assumptions!$C$9*Assumptions!$C$10)*NORMSDIST(((LN(1900/Assumptions!$C$7)+(Assumptions!$C$9-Assumptions!$C$11+0.3^2/2)*Assumptions!$C$10)/(0.3*SQRT(Assumptions!$C$10)))-0.3*SQRT(Assumptions!$C$10))</f>
        <v>5.38557689954237</v>
      </c>
      <c r="H10" s="83" t="n">
        <f aca="false">1900*EXP(-Assumptions!$C$11*Assumptions!$C$10)*NORMSDIST((LN(1900/Assumptions!$C$7)+(Assumptions!$C$9-Assumptions!$C$11+0.35^2/2)*Assumptions!$C$10)/(0.35*SQRT(Assumptions!$C$10)))-Assumptions!$C$7*EXP(-Assumptions!$C$9*Assumptions!$C$10)*NORMSDIST(((LN(1900/Assumptions!$C$7)+(Assumptions!$C$9-Assumptions!$C$11+0.35^2/2)*Assumptions!$C$10)/(0.35*SQRT(Assumptions!$C$10)))-0.35*SQRT(Assumptions!$C$10))</f>
        <v>11.3063226665353</v>
      </c>
      <c r="I10" s="83" t="n">
        <f aca="false">1900*EXP(-Assumptions!$C$11*Assumptions!$C$10)*NORMSDIST((LN(1900/Assumptions!$C$7)+(Assumptions!$C$9-Assumptions!$C$11+0.4^2/2)*Assumptions!$C$10)/(0.4*SQRT(Assumptions!$C$10)))-Assumptions!$C$7*EXP(-Assumptions!$C$9*Assumptions!$C$10)*NORMSDIST(((LN(1900/Assumptions!$C$7)+(Assumptions!$C$9-Assumptions!$C$11+0.4^2/2)*Assumptions!$C$10)/(0.4*SQRT(Assumptions!$C$10)))-0.4*SQRT(Assumptions!$C$10))</f>
        <v>19.4494876949172</v>
      </c>
      <c r="J10" s="83" t="n">
        <f aca="false">1900*EXP(-Assumptions!$C$11*Assumptions!$C$10)*NORMSDIST((LN(1900/Assumptions!$C$7)+(Assumptions!$C$9-Assumptions!$C$11+0.45^2/2)*Assumptions!$C$10)/(0.45*SQRT(Assumptions!$C$10)))-Assumptions!$C$7*EXP(-Assumptions!$C$9*Assumptions!$C$10)*NORMSDIST(((LN(1900/Assumptions!$C$7)+(Assumptions!$C$9-Assumptions!$C$11+0.45^2/2)*Assumptions!$C$10)/(0.45*SQRT(Assumptions!$C$10)))-0.45*SQRT(Assumptions!$C$10))</f>
        <v>29.5258862054763</v>
      </c>
      <c r="K10" s="83" t="n">
        <f aca="false">1900*EXP(-Assumptions!$C$11*Assumptions!$C$10)*NORMSDIST((LN(1900/Assumptions!$C$7)+(Assumptions!$C$9-Assumptions!$C$11+0.5^2/2)*Assumptions!$C$10)/(0.5*SQRT(Assumptions!$C$10)))-Assumptions!$C$7*EXP(-Assumptions!$C$9*Assumptions!$C$10)*NORMSDIST(((LN(1900/Assumptions!$C$7)+(Assumptions!$C$9-Assumptions!$C$11+0.5^2/2)*Assumptions!$C$10)/(0.5*SQRT(Assumptions!$C$10)))-0.5*SQRT(Assumptions!$C$10))</f>
        <v>41.2209703607442</v>
      </c>
    </row>
    <row r="11" customFormat="false" ht="15.75" hidden="false" customHeight="true" outlineLevel="0" collapsed="false">
      <c r="B11" s="80" t="n">
        <v>1950</v>
      </c>
      <c r="C11" s="81" t="n">
        <f aca="false">1950*EXP(-Assumptions!$C$11*Assumptions!$C$10)*NORMSDIST((LN(1950/Assumptions!$C$7)+(Assumptions!$C$9-Assumptions!$C$11+0.1^2/2)*Assumptions!$C$10)/(0.1*SQRT(Assumptions!$C$10)))-Assumptions!$C$7*EXP(-Assumptions!$C$9*Assumptions!$C$10)*NORMSDIST(((LN(1950/Assumptions!$C$7)+(Assumptions!$C$9-Assumptions!$C$11+0.1^2/2)*Assumptions!$C$10)/(0.1*SQRT(Assumptions!$C$10)))-0.1*SQRT(Assumptions!$C$10))</f>
        <v>2.88258263793045E-005</v>
      </c>
      <c r="D11" s="81" t="n">
        <f aca="false">1950*EXP(-Assumptions!$C$11*Assumptions!$C$10)*NORMSDIST((LN(1950/Assumptions!$C$7)+(Assumptions!$C$9-Assumptions!$C$11+0.15^2/2)*Assumptions!$C$10)/(0.15*SQRT(Assumptions!$C$10)))-Assumptions!$C$7*EXP(-Assumptions!$C$9*Assumptions!$C$10)*NORMSDIST(((LN(1950/Assumptions!$C$7)+(Assumptions!$C$9-Assumptions!$C$11+0.15^2/2)*Assumptions!$C$10)/(0.15*SQRT(Assumptions!$C$10)))-0.15*SQRT(Assumptions!$C$10))</f>
        <v>0.0393638433302583</v>
      </c>
      <c r="E11" s="81" t="n">
        <f aca="false">1950*EXP(-Assumptions!$C$11*Assumptions!$C$10)*NORMSDIST((LN(1950/Assumptions!$C$7)+(Assumptions!$C$9-Assumptions!$C$11+0.2^2/2)*Assumptions!$C$10)/(0.2*SQRT(Assumptions!$C$10)))-Assumptions!$C$7*EXP(-Assumptions!$C$9*Assumptions!$C$10)*NORMSDIST(((LN(1950/Assumptions!$C$7)+(Assumptions!$C$9-Assumptions!$C$11+0.2^2/2)*Assumptions!$C$10)/(0.2*SQRT(Assumptions!$C$10)))-0.2*SQRT(Assumptions!$C$10))</f>
        <v>0.69631665833036</v>
      </c>
      <c r="F11" s="81" t="n">
        <f aca="false">1950*EXP(-Assumptions!$C$11*Assumptions!$C$10)*NORMSDIST((LN(1950/Assumptions!$C$7)+(Assumptions!$C$9-Assumptions!$C$11+0.25^2/2)*Assumptions!$C$10)/(0.25*SQRT(Assumptions!$C$10)))-Assumptions!$C$7*EXP(-Assumptions!$C$9*Assumptions!$C$10)*NORMSDIST(((LN(1950/Assumptions!$C$7)+(Assumptions!$C$9-Assumptions!$C$11+0.25^2/2)*Assumptions!$C$10)/(0.25*SQRT(Assumptions!$C$10)))-0.25*SQRT(Assumptions!$C$10))</f>
        <v>3.19731125482259</v>
      </c>
      <c r="G11" s="81" t="n">
        <f aca="false">1950*EXP(-Assumptions!$C$11*Assumptions!$C$10)*NORMSDIST((LN(1950/Assumptions!$C$7)+(Assumptions!$C$9-Assumptions!$C$11+0.3^2/2)*Assumptions!$C$10)/(0.3*SQRT(Assumptions!$C$10)))-Assumptions!$C$7*EXP(-Assumptions!$C$9*Assumptions!$C$10)*NORMSDIST(((LN(1950/Assumptions!$C$7)+(Assumptions!$C$9-Assumptions!$C$11+0.3^2/2)*Assumptions!$C$10)/(0.3*SQRT(Assumptions!$C$10)))-0.3*SQRT(Assumptions!$C$10))</f>
        <v>8.2656283448861</v>
      </c>
      <c r="H11" s="81" t="n">
        <f aca="false">1950*EXP(-Assumptions!$C$11*Assumptions!$C$10)*NORMSDIST((LN(1950/Assumptions!$C$7)+(Assumptions!$C$9-Assumptions!$C$11+0.35^2/2)*Assumptions!$C$10)/(0.35*SQRT(Assumptions!$C$10)))-Assumptions!$C$7*EXP(-Assumptions!$C$9*Assumptions!$C$10)*NORMSDIST(((LN(1950/Assumptions!$C$7)+(Assumptions!$C$9-Assumptions!$C$11+0.35^2/2)*Assumptions!$C$10)/(0.35*SQRT(Assumptions!$C$10)))-0.35*SQRT(Assumptions!$C$10))</f>
        <v>15.9125981285765</v>
      </c>
      <c r="I11" s="81" t="n">
        <f aca="false">1950*EXP(-Assumptions!$C$11*Assumptions!$C$10)*NORMSDIST((LN(1950/Assumptions!$C$7)+(Assumptions!$C$9-Assumptions!$C$11+0.4^2/2)*Assumptions!$C$10)/(0.4*SQRT(Assumptions!$C$10)))-Assumptions!$C$7*EXP(-Assumptions!$C$9*Assumptions!$C$10)*NORMSDIST(((LN(1950/Assumptions!$C$7)+(Assumptions!$C$9-Assumptions!$C$11+0.4^2/2)*Assumptions!$C$10)/(0.4*SQRT(Assumptions!$C$10)))-0.4*SQRT(Assumptions!$C$10))</f>
        <v>25.8176672824479</v>
      </c>
      <c r="J11" s="81" t="n">
        <f aca="false">1950*EXP(-Assumptions!$C$11*Assumptions!$C$10)*NORMSDIST((LN(1950/Assumptions!$C$7)+(Assumptions!$C$9-Assumptions!$C$11+0.45^2/2)*Assumptions!$C$10)/(0.45*SQRT(Assumptions!$C$10)))-Assumptions!$C$7*EXP(-Assumptions!$C$9*Assumptions!$C$10)*NORMSDIST(((LN(1950/Assumptions!$C$7)+(Assumptions!$C$9-Assumptions!$C$11+0.45^2/2)*Assumptions!$C$10)/(0.45*SQRT(Assumptions!$C$10)))-0.45*SQRT(Assumptions!$C$10))</f>
        <v>37.5895803666354</v>
      </c>
      <c r="K11" s="81" t="n">
        <f aca="false">1950*EXP(-Assumptions!$C$11*Assumptions!$C$10)*NORMSDIST((LN(1950/Assumptions!$C$7)+(Assumptions!$C$9-Assumptions!$C$11+0.5^2/2)*Assumptions!$C$10)/(0.5*SQRT(Assumptions!$C$10)))-Assumptions!$C$7*EXP(-Assumptions!$C$9*Assumptions!$C$10)*NORMSDIST(((LN(1950/Assumptions!$C$7)+(Assumptions!$C$9-Assumptions!$C$11+0.5^2/2)*Assumptions!$C$10)/(0.5*SQRT(Assumptions!$C$10)))-0.5*SQRT(Assumptions!$C$10))</f>
        <v>50.8702847914406</v>
      </c>
    </row>
    <row r="12" customFormat="false" ht="15.75" hidden="false" customHeight="true" outlineLevel="0" collapsed="false">
      <c r="B12" s="82" t="n">
        <v>2000</v>
      </c>
      <c r="C12" s="83" t="n">
        <f aca="false">2000*EXP(-Assumptions!$C$11*Assumptions!$C$10)*NORMSDIST((LN(2000/Assumptions!$C$7)+(Assumptions!$C$9-Assumptions!$C$11+0.1^2/2)*Assumptions!$C$10)/(0.1*SQRT(Assumptions!$C$10)))-Assumptions!$C$7*EXP(-Assumptions!$C$9*Assumptions!$C$10)*NORMSDIST(((LN(2000/Assumptions!$C$7)+(Assumptions!$C$9-Assumptions!$C$11+0.1^2/2)*Assumptions!$C$10)/(0.1*SQRT(Assumptions!$C$10)))-0.1*SQRT(Assumptions!$C$10))</f>
        <v>0.00033851923794723</v>
      </c>
      <c r="D12" s="83" t="n">
        <f aca="false">2000*EXP(-Assumptions!$C$11*Assumptions!$C$10)*NORMSDIST((LN(2000/Assumptions!$C$7)+(Assumptions!$C$9-Assumptions!$C$11+0.15^2/2)*Assumptions!$C$10)/(0.15*SQRT(Assumptions!$C$10)))-Assumptions!$C$7*EXP(-Assumptions!$C$9*Assumptions!$C$10)*NORMSDIST(((LN(2000/Assumptions!$C$7)+(Assumptions!$C$9-Assumptions!$C$11+0.15^2/2)*Assumptions!$C$10)/(0.15*SQRT(Assumptions!$C$10)))-0.15*SQRT(Assumptions!$C$10))</f>
        <v>0.129845106646605</v>
      </c>
      <c r="E12" s="83" t="n">
        <f aca="false">2000*EXP(-Assumptions!$C$11*Assumptions!$C$10)*NORMSDIST((LN(2000/Assumptions!$C$7)+(Assumptions!$C$9-Assumptions!$C$11+0.2^2/2)*Assumptions!$C$10)/(0.2*SQRT(Assumptions!$C$10)))-Assumptions!$C$7*EXP(-Assumptions!$C$9*Assumptions!$C$10)*NORMSDIST(((LN(2000/Assumptions!$C$7)+(Assumptions!$C$9-Assumptions!$C$11+0.2^2/2)*Assumptions!$C$10)/(0.2*SQRT(Assumptions!$C$10)))-0.2*SQRT(Assumptions!$C$10))</f>
        <v>1.45559254905393</v>
      </c>
      <c r="F12" s="83" t="n">
        <f aca="false">2000*EXP(-Assumptions!$C$11*Assumptions!$C$10)*NORMSDIST((LN(2000/Assumptions!$C$7)+(Assumptions!$C$9-Assumptions!$C$11+0.25^2/2)*Assumptions!$C$10)/(0.25*SQRT(Assumptions!$C$10)))-Assumptions!$C$7*EXP(-Assumptions!$C$9*Assumptions!$C$10)*NORMSDIST(((LN(2000/Assumptions!$C$7)+(Assumptions!$C$9-Assumptions!$C$11+0.25^2/2)*Assumptions!$C$10)/(0.25*SQRT(Assumptions!$C$10)))-0.25*SQRT(Assumptions!$C$10))</f>
        <v>5.37087662840374</v>
      </c>
      <c r="G12" s="83" t="n">
        <f aca="false">2000*EXP(-Assumptions!$C$11*Assumptions!$C$10)*NORMSDIST((LN(2000/Assumptions!$C$7)+(Assumptions!$C$9-Assumptions!$C$11+0.3^2/2)*Assumptions!$C$10)/(0.3*SQRT(Assumptions!$C$10)))-Assumptions!$C$7*EXP(-Assumptions!$C$9*Assumptions!$C$10)*NORMSDIST(((LN(2000/Assumptions!$C$7)+(Assumptions!$C$9-Assumptions!$C$11+0.3^2/2)*Assumptions!$C$10)/(0.3*SQRT(Assumptions!$C$10)))-0.3*SQRT(Assumptions!$C$10))</f>
        <v>12.2685801508844</v>
      </c>
      <c r="H12" s="83" t="n">
        <f aca="false">2000*EXP(-Assumptions!$C$11*Assumptions!$C$10)*NORMSDIST((LN(2000/Assumptions!$C$7)+(Assumptions!$C$9-Assumptions!$C$11+0.35^2/2)*Assumptions!$C$10)/(0.35*SQRT(Assumptions!$C$10)))-Assumptions!$C$7*EXP(-Assumptions!$C$9*Assumptions!$C$10)*NORMSDIST(((LN(2000/Assumptions!$C$7)+(Assumptions!$C$9-Assumptions!$C$11+0.35^2/2)*Assumptions!$C$10)/(0.35*SQRT(Assumptions!$C$10)))-0.35*SQRT(Assumptions!$C$10))</f>
        <v>21.8473793942757</v>
      </c>
      <c r="I12" s="83" t="n">
        <f aca="false">2000*EXP(-Assumptions!$C$11*Assumptions!$C$10)*NORMSDIST((LN(2000/Assumptions!$C$7)+(Assumptions!$C$9-Assumptions!$C$11+0.4^2/2)*Assumptions!$C$10)/(0.4*SQRT(Assumptions!$C$10)))-Assumptions!$C$7*EXP(-Assumptions!$C$9*Assumptions!$C$10)*NORMSDIST(((LN(2000/Assumptions!$C$7)+(Assumptions!$C$9-Assumptions!$C$11+0.4^2/2)*Assumptions!$C$10)/(0.4*SQRT(Assumptions!$C$10)))-0.4*SQRT(Assumptions!$C$10))</f>
        <v>33.6186540676133</v>
      </c>
      <c r="J12" s="83" t="n">
        <f aca="false">2000*EXP(-Assumptions!$C$11*Assumptions!$C$10)*NORMSDIST((LN(2000/Assumptions!$C$7)+(Assumptions!$C$9-Assumptions!$C$11+0.45^2/2)*Assumptions!$C$10)/(0.45*SQRT(Assumptions!$C$10)))-Assumptions!$C$7*EXP(-Assumptions!$C$9*Assumptions!$C$10)*NORMSDIST(((LN(2000/Assumptions!$C$7)+(Assumptions!$C$9-Assumptions!$C$11+0.45^2/2)*Assumptions!$C$10)/(0.45*SQRT(Assumptions!$C$10)))-0.45*SQRT(Assumptions!$C$10))</f>
        <v>47.1227387573056</v>
      </c>
      <c r="K12" s="83" t="n">
        <f aca="false">2000*EXP(-Assumptions!$C$11*Assumptions!$C$10)*NORMSDIST((LN(2000/Assumptions!$C$7)+(Assumptions!$C$9-Assumptions!$C$11+0.5^2/2)*Assumptions!$C$10)/(0.5*SQRT(Assumptions!$C$10)))-Assumptions!$C$7*EXP(-Assumptions!$C$9*Assumptions!$C$10)*NORMSDIST(((LN(2000/Assumptions!$C$7)+(Assumptions!$C$9-Assumptions!$C$11+0.5^2/2)*Assumptions!$C$10)/(0.5*SQRT(Assumptions!$C$10)))-0.5*SQRT(Assumptions!$C$10))</f>
        <v>61.9839677967661</v>
      </c>
    </row>
    <row r="13" customFormat="false" ht="15.75" hidden="false" customHeight="true" outlineLevel="0" collapsed="false">
      <c r="B13" s="80" t="n">
        <v>2050</v>
      </c>
      <c r="C13" s="81" t="n">
        <f aca="false">2050*EXP(-Assumptions!$C$11*Assumptions!$C$10)*NORMSDIST((LN(2050/Assumptions!$C$7)+(Assumptions!$C$9-Assumptions!$C$11+0.1^2/2)*Assumptions!$C$10)/(0.1*SQRT(Assumptions!$C$10)))-Assumptions!$C$7*EXP(-Assumptions!$C$9*Assumptions!$C$10)*NORMSDIST(((LN(2050/Assumptions!$C$7)+(Assumptions!$C$9-Assumptions!$C$11+0.1^2/2)*Assumptions!$C$10)/(0.1*SQRT(Assumptions!$C$10)))-0.1*SQRT(Assumptions!$C$10))</f>
        <v>0.00297903243442824</v>
      </c>
      <c r="D13" s="81" t="n">
        <f aca="false">2050*EXP(-Assumptions!$C$11*Assumptions!$C$10)*NORMSDIST((LN(2050/Assumptions!$C$7)+(Assumptions!$C$9-Assumptions!$C$11+0.15^2/2)*Assumptions!$C$10)/(0.15*SQRT(Assumptions!$C$10)))-Assumptions!$C$7*EXP(-Assumptions!$C$9*Assumptions!$C$10)*NORMSDIST(((LN(2050/Assumptions!$C$7)+(Assumptions!$C$9-Assumptions!$C$11+0.15^2/2)*Assumptions!$C$10)/(0.15*SQRT(Assumptions!$C$10)))-0.15*SQRT(Assumptions!$C$10))</f>
        <v>0.377983450476391</v>
      </c>
      <c r="E13" s="81" t="n">
        <f aca="false">2050*EXP(-Assumptions!$C$11*Assumptions!$C$10)*NORMSDIST((LN(2050/Assumptions!$C$7)+(Assumptions!$C$9-Assumptions!$C$11+0.2^2/2)*Assumptions!$C$10)/(0.2*SQRT(Assumptions!$C$10)))-Assumptions!$C$7*EXP(-Assumptions!$C$9*Assumptions!$C$10)*NORMSDIST(((LN(2050/Assumptions!$C$7)+(Assumptions!$C$9-Assumptions!$C$11+0.2^2/2)*Assumptions!$C$10)/(0.2*SQRT(Assumptions!$C$10)))-0.2*SQRT(Assumptions!$C$10))</f>
        <v>2.8390967305412</v>
      </c>
      <c r="F13" s="81" t="n">
        <f aca="false">2050*EXP(-Assumptions!$C$11*Assumptions!$C$10)*NORMSDIST((LN(2050/Assumptions!$C$7)+(Assumptions!$C$9-Assumptions!$C$11+0.25^2/2)*Assumptions!$C$10)/(0.25*SQRT(Assumptions!$C$10)))-Assumptions!$C$7*EXP(-Assumptions!$C$9*Assumptions!$C$10)*NORMSDIST(((LN(2050/Assumptions!$C$7)+(Assumptions!$C$9-Assumptions!$C$11+0.25^2/2)*Assumptions!$C$10)/(0.25*SQRT(Assumptions!$C$10)))-0.25*SQRT(Assumptions!$C$10))</f>
        <v>8.63231894686456</v>
      </c>
      <c r="G13" s="81" t="n">
        <f aca="false">2050*EXP(-Assumptions!$C$11*Assumptions!$C$10)*NORMSDIST((LN(2050/Assumptions!$C$7)+(Assumptions!$C$9-Assumptions!$C$11+0.3^2/2)*Assumptions!$C$10)/(0.3*SQRT(Assumptions!$C$10)))-Assumptions!$C$7*EXP(-Assumptions!$C$9*Assumptions!$C$10)*NORMSDIST(((LN(2050/Assumptions!$C$7)+(Assumptions!$C$9-Assumptions!$C$11+0.3^2/2)*Assumptions!$C$10)/(0.3*SQRT(Assumptions!$C$10)))-0.3*SQRT(Assumptions!$C$10))</f>
        <v>17.6580705098783</v>
      </c>
      <c r="H13" s="81" t="n">
        <f aca="false">2050*EXP(-Assumptions!$C$11*Assumptions!$C$10)*NORMSDIST((LN(2050/Assumptions!$C$7)+(Assumptions!$C$9-Assumptions!$C$11+0.35^2/2)*Assumptions!$C$10)/(0.35*SQRT(Assumptions!$C$10)))-Assumptions!$C$7*EXP(-Assumptions!$C$9*Assumptions!$C$10)*NORMSDIST(((LN(2050/Assumptions!$C$7)+(Assumptions!$C$9-Assumptions!$C$11+0.35^2/2)*Assumptions!$C$10)/(0.35*SQRT(Assumptions!$C$10)))-0.35*SQRT(Assumptions!$C$10))</f>
        <v>29.3181904311066</v>
      </c>
      <c r="I13" s="81" t="n">
        <f aca="false">2050*EXP(-Assumptions!$C$11*Assumptions!$C$10)*NORMSDIST((LN(2050/Assumptions!$C$7)+(Assumptions!$C$9-Assumptions!$C$11+0.4^2/2)*Assumptions!$C$10)/(0.4*SQRT(Assumptions!$C$10)))-Assumptions!$C$7*EXP(-Assumptions!$C$9*Assumptions!$C$10)*NORMSDIST(((LN(2050/Assumptions!$C$7)+(Assumptions!$C$9-Assumptions!$C$11+0.4^2/2)*Assumptions!$C$10)/(0.4*SQRT(Assumptions!$C$10)))-0.4*SQRT(Assumptions!$C$10))</f>
        <v>43.0068859579572</v>
      </c>
      <c r="J13" s="81" t="n">
        <f aca="false">2050*EXP(-Assumptions!$C$11*Assumptions!$C$10)*NORMSDIST((LN(2050/Assumptions!$C$7)+(Assumptions!$C$9-Assumptions!$C$11+0.45^2/2)*Assumptions!$C$10)/(0.45*SQRT(Assumptions!$C$10)))-Assumptions!$C$7*EXP(-Assumptions!$C$9*Assumptions!$C$10)*NORMSDIST(((LN(2050/Assumptions!$C$7)+(Assumptions!$C$9-Assumptions!$C$11+0.45^2/2)*Assumptions!$C$10)/(0.45*SQRT(Assumptions!$C$10)))-0.45*SQRT(Assumptions!$C$10))</f>
        <v>58.2366190919954</v>
      </c>
      <c r="K13" s="81" t="n">
        <f aca="false">2050*EXP(-Assumptions!$C$11*Assumptions!$C$10)*NORMSDIST((LN(2050/Assumptions!$C$7)+(Assumptions!$C$9-Assumptions!$C$11+0.5^2/2)*Assumptions!$C$10)/(0.5*SQRT(Assumptions!$C$10)))-Assumptions!$C$7*EXP(-Assumptions!$C$9*Assumptions!$C$10)*NORMSDIST(((LN(2050/Assumptions!$C$7)+(Assumptions!$C$9-Assumptions!$C$11+0.5^2/2)*Assumptions!$C$10)/(0.5*SQRT(Assumptions!$C$10)))-0.5*SQRT(Assumptions!$C$10))</f>
        <v>74.6400938765353</v>
      </c>
    </row>
    <row r="14" customFormat="false" ht="15.75" hidden="false" customHeight="true" outlineLevel="0" collapsed="false">
      <c r="B14" s="82" t="n">
        <v>2100</v>
      </c>
      <c r="C14" s="83" t="n">
        <f aca="false">2100*EXP(-Assumptions!$C$11*Assumptions!$C$10)*NORMSDIST((LN(2100/Assumptions!$C$7)+(Assumptions!$C$9-Assumptions!$C$11+0.1^2/2)*Assumptions!$C$10)/(0.1*SQRT(Assumptions!$C$10)))-Assumptions!$C$7*EXP(-Assumptions!$C$9*Assumptions!$C$10)*NORMSDIST(((LN(2100/Assumptions!$C$7)+(Assumptions!$C$9-Assumptions!$C$11+0.1^2/2)*Assumptions!$C$10)/(0.1*SQRT(Assumptions!$C$10)))-0.1*SQRT(Assumptions!$C$10))</f>
        <v>0.020097468433345</v>
      </c>
      <c r="D14" s="83" t="n">
        <f aca="false">2100*EXP(-Assumptions!$C$11*Assumptions!$C$10)*NORMSDIST((LN(2100/Assumptions!$C$7)+(Assumptions!$C$9-Assumptions!$C$11+0.15^2/2)*Assumptions!$C$10)/(0.15*SQRT(Assumptions!$C$10)))-Assumptions!$C$7*EXP(-Assumptions!$C$9*Assumptions!$C$10)*NORMSDIST(((LN(2100/Assumptions!$C$7)+(Assumptions!$C$9-Assumptions!$C$11+0.15^2/2)*Assumptions!$C$10)/(0.15*SQRT(Assumptions!$C$10)))-0.15*SQRT(Assumptions!$C$10))</f>
        <v>0.98101646109275</v>
      </c>
      <c r="E14" s="83" t="n">
        <f aca="false">2100*EXP(-Assumptions!$C$11*Assumptions!$C$10)*NORMSDIST((LN(2100/Assumptions!$C$7)+(Assumptions!$C$9-Assumptions!$C$11+0.2^2/2)*Assumptions!$C$10)/(0.2*SQRT(Assumptions!$C$10)))-Assumptions!$C$7*EXP(-Assumptions!$C$9*Assumptions!$C$10)*NORMSDIST(((LN(2100/Assumptions!$C$7)+(Assumptions!$C$9-Assumptions!$C$11+0.2^2/2)*Assumptions!$C$10)/(0.2*SQRT(Assumptions!$C$10)))-0.2*SQRT(Assumptions!$C$10))</f>
        <v>5.19631572960373</v>
      </c>
      <c r="F14" s="83" t="n">
        <f aca="false">2100*EXP(-Assumptions!$C$11*Assumptions!$C$10)*NORMSDIST((LN(2100/Assumptions!$C$7)+(Assumptions!$C$9-Assumptions!$C$11+0.25^2/2)*Assumptions!$C$10)/(0.25*SQRT(Assumptions!$C$10)))-Assumptions!$C$7*EXP(-Assumptions!$C$9*Assumptions!$C$10)*NORMSDIST(((LN(2100/Assumptions!$C$7)+(Assumptions!$C$9-Assumptions!$C$11+0.25^2/2)*Assumptions!$C$10)/(0.25*SQRT(Assumptions!$C$10)))-0.25*SQRT(Assumptions!$C$10))</f>
        <v>13.3224727322183</v>
      </c>
      <c r="G14" s="83" t="n">
        <f aca="false">2100*EXP(-Assumptions!$C$11*Assumptions!$C$10)*NORMSDIST((LN(2100/Assumptions!$C$7)+(Assumptions!$C$9-Assumptions!$C$11+0.3^2/2)*Assumptions!$C$10)/(0.3*SQRT(Assumptions!$C$10)))-Assumptions!$C$7*EXP(-Assumptions!$C$9*Assumptions!$C$10)*NORMSDIST(((LN(2100/Assumptions!$C$7)+(Assumptions!$C$9-Assumptions!$C$11+0.3^2/2)*Assumptions!$C$10)/(0.3*SQRT(Assumptions!$C$10)))-0.3*SQRT(Assumptions!$C$10))</f>
        <v>24.7049882607899</v>
      </c>
      <c r="H14" s="83" t="n">
        <f aca="false">2100*EXP(-Assumptions!$C$11*Assumptions!$C$10)*NORMSDIST((LN(2100/Assumptions!$C$7)+(Assumptions!$C$9-Assumptions!$C$11+0.35^2/2)*Assumptions!$C$10)/(0.35*SQRT(Assumptions!$C$10)))-Assumptions!$C$7*EXP(-Assumptions!$C$9*Assumptions!$C$10)*NORMSDIST(((LN(2100/Assumptions!$C$7)+(Assumptions!$C$9-Assumptions!$C$11+0.35^2/2)*Assumptions!$C$10)/(0.35*SQRT(Assumptions!$C$10)))-0.35*SQRT(Assumptions!$C$10))</f>
        <v>38.5234842265201</v>
      </c>
      <c r="I14" s="83" t="n">
        <f aca="false">2100*EXP(-Assumptions!$C$11*Assumptions!$C$10)*NORMSDIST((LN(2100/Assumptions!$C$7)+(Assumptions!$C$9-Assumptions!$C$11+0.4^2/2)*Assumptions!$C$10)/(0.4*SQRT(Assumptions!$C$10)))-Assumptions!$C$7*EXP(-Assumptions!$C$9*Assumptions!$C$10)*NORMSDIST(((LN(2100/Assumptions!$C$7)+(Assumptions!$C$9-Assumptions!$C$11+0.4^2/2)*Assumptions!$C$10)/(0.4*SQRT(Assumptions!$C$10)))-0.4*SQRT(Assumptions!$C$10))</f>
        <v>54.122244867437</v>
      </c>
      <c r="J14" s="83" t="n">
        <f aca="false">2100*EXP(-Assumptions!$C$11*Assumptions!$C$10)*NORMSDIST((LN(2100/Assumptions!$C$7)+(Assumptions!$C$9-Assumptions!$C$11+0.45^2/2)*Assumptions!$C$10)/(0.45*SQRT(Assumptions!$C$10)))-Assumptions!$C$7*EXP(-Assumptions!$C$9*Assumptions!$C$10)*NORMSDIST(((LN(2100/Assumptions!$C$7)+(Assumptions!$C$9-Assumptions!$C$11+0.45^2/2)*Assumptions!$C$10)/(0.45*SQRT(Assumptions!$C$10)))-0.45*SQRT(Assumptions!$C$10))</f>
        <v>71.0273221701971</v>
      </c>
      <c r="K14" s="83" t="n">
        <f aca="false">2100*EXP(-Assumptions!$C$11*Assumptions!$C$10)*NORMSDIST((LN(2100/Assumptions!$C$7)+(Assumptions!$C$9-Assumptions!$C$11+0.5^2/2)*Assumptions!$C$10)/(0.5*SQRT(Assumptions!$C$10)))-Assumptions!$C$7*EXP(-Assumptions!$C$9*Assumptions!$C$10)*NORMSDIST(((LN(2100/Assumptions!$C$7)+(Assumptions!$C$9-Assumptions!$C$11+0.5^2/2)*Assumptions!$C$10)/(0.5*SQRT(Assumptions!$C$10)))-0.5*SQRT(Assumptions!$C$10))</f>
        <v>88.9028991046488</v>
      </c>
    </row>
    <row r="15" customFormat="false" ht="15.75" hidden="false" customHeight="true" outlineLevel="0" collapsed="false">
      <c r="B15" s="80" t="n">
        <v>2150</v>
      </c>
      <c r="C15" s="81" t="n">
        <f aca="false">2150*EXP(-Assumptions!$C$11*Assumptions!$C$10)*NORMSDIST((LN(2150/Assumptions!$C$7)+(Assumptions!$C$9-Assumptions!$C$11+0.1^2/2)*Assumptions!$C$10)/(0.1*SQRT(Assumptions!$C$10)))-Assumptions!$C$7*EXP(-Assumptions!$C$9*Assumptions!$C$10)*NORMSDIST(((LN(2150/Assumptions!$C$7)+(Assumptions!$C$9-Assumptions!$C$11+0.1^2/2)*Assumptions!$C$10)/(0.1*SQRT(Assumptions!$C$10)))-0.1*SQRT(Assumptions!$C$10))</f>
        <v>0.106197668796072</v>
      </c>
      <c r="D15" s="81" t="n">
        <f aca="false">2150*EXP(-Assumptions!$C$11*Assumptions!$C$10)*NORMSDIST((LN(2150/Assumptions!$C$7)+(Assumptions!$C$9-Assumptions!$C$11+0.15^2/2)*Assumptions!$C$10)/(0.15*SQRT(Assumptions!$C$10)))-Assumptions!$C$7*EXP(-Assumptions!$C$9*Assumptions!$C$10)*NORMSDIST(((LN(2150/Assumptions!$C$7)+(Assumptions!$C$9-Assumptions!$C$11+0.15^2/2)*Assumptions!$C$10)/(0.15*SQRT(Assumptions!$C$10)))-0.15*SQRT(Assumptions!$C$10))</f>
        <v>2.29189155732003</v>
      </c>
      <c r="E15" s="81" t="n">
        <f aca="false">2150*EXP(-Assumptions!$C$11*Assumptions!$C$10)*NORMSDIST((LN(2150/Assumptions!$C$7)+(Assumptions!$C$9-Assumptions!$C$11+0.2^2/2)*Assumptions!$C$10)/(0.2*SQRT(Assumptions!$C$10)))-Assumptions!$C$7*EXP(-Assumptions!$C$9*Assumptions!$C$10)*NORMSDIST(((LN(2150/Assumptions!$C$7)+(Assumptions!$C$9-Assumptions!$C$11+0.2^2/2)*Assumptions!$C$10)/(0.2*SQRT(Assumptions!$C$10)))-0.2*SQRT(Assumptions!$C$10))</f>
        <v>8.97179876231024</v>
      </c>
      <c r="F15" s="81" t="n">
        <f aca="false">2150*EXP(-Assumptions!$C$11*Assumptions!$C$10)*NORMSDIST((LN(2150/Assumptions!$C$7)+(Assumptions!$C$9-Assumptions!$C$11+0.25^2/2)*Assumptions!$C$10)/(0.25*SQRT(Assumptions!$C$10)))-Assumptions!$C$7*EXP(-Assumptions!$C$9*Assumptions!$C$10)*NORMSDIST(((LN(2150/Assumptions!$C$7)+(Assumptions!$C$9-Assumptions!$C$11+0.25^2/2)*Assumptions!$C$10)/(0.25*SQRT(Assumptions!$C$10)))-0.25*SQRT(Assumptions!$C$10))</f>
        <v>19.8085375248159</v>
      </c>
      <c r="G15" s="81" t="n">
        <f aca="false">2150*EXP(-Assumptions!$C$11*Assumptions!$C$10)*NORMSDIST((LN(2150/Assumptions!$C$7)+(Assumptions!$C$9-Assumptions!$C$11+0.3^2/2)*Assumptions!$C$10)/(0.3*SQRT(Assumptions!$C$10)))-Assumptions!$C$7*EXP(-Assumptions!$C$9*Assumptions!$C$10)*NORMSDIST(((LN(2150/Assumptions!$C$7)+(Assumptions!$C$9-Assumptions!$C$11+0.3^2/2)*Assumptions!$C$10)/(0.3*SQRT(Assumptions!$C$10)))-0.3*SQRT(Assumptions!$C$10))</f>
        <v>33.6741113294007</v>
      </c>
      <c r="H15" s="81" t="n">
        <f aca="false">2150*EXP(-Assumptions!$C$11*Assumptions!$C$10)*NORMSDIST((LN(2150/Assumptions!$C$7)+(Assumptions!$C$9-Assumptions!$C$11+0.35^2/2)*Assumptions!$C$10)/(0.35*SQRT(Assumptions!$C$10)))-Assumptions!$C$7*EXP(-Assumptions!$C$9*Assumptions!$C$10)*NORMSDIST(((LN(2150/Assumptions!$C$7)+(Assumptions!$C$9-Assumptions!$C$11+0.35^2/2)*Assumptions!$C$10)/(0.35*SQRT(Assumptions!$C$10)))-0.35*SQRT(Assumptions!$C$10))</f>
        <v>49.6446723640099</v>
      </c>
      <c r="I15" s="81" t="n">
        <f aca="false">2150*EXP(-Assumptions!$C$11*Assumptions!$C$10)*NORMSDIST((LN(2150/Assumptions!$C$7)+(Assumptions!$C$9-Assumptions!$C$11+0.4^2/2)*Assumptions!$C$10)/(0.4*SQRT(Assumptions!$C$10)))-Assumptions!$C$7*EXP(-Assumptions!$C$9*Assumptions!$C$10)*NORMSDIST(((LN(2150/Assumptions!$C$7)+(Assumptions!$C$9-Assumptions!$C$11+0.4^2/2)*Assumptions!$C$10)/(0.4*SQRT(Assumptions!$C$10)))-0.4*SQRT(Assumptions!$C$10))</f>
        <v>67.0858485854589</v>
      </c>
      <c r="J15" s="81" t="n">
        <f aca="false">2150*EXP(-Assumptions!$C$11*Assumptions!$C$10)*NORMSDIST((LN(2150/Assumptions!$C$7)+(Assumptions!$C$9-Assumptions!$C$11+0.45^2/2)*Assumptions!$C$10)/(0.45*SQRT(Assumptions!$C$10)))-Assumptions!$C$7*EXP(-Assumptions!$C$9*Assumptions!$C$10)*NORMSDIST(((LN(2150/Assumptions!$C$7)+(Assumptions!$C$9-Assumptions!$C$11+0.45^2/2)*Assumptions!$C$10)/(0.45*SQRT(Assumptions!$C$10)))-0.45*SQRT(Assumptions!$C$10))</f>
        <v>85.5738064059516</v>
      </c>
      <c r="K15" s="81" t="n">
        <f aca="false">2150*EXP(-Assumptions!$C$11*Assumptions!$C$10)*NORMSDIST((LN(2150/Assumptions!$C$7)+(Assumptions!$C$9-Assumptions!$C$11+0.5^2/2)*Assumptions!$C$10)/(0.5*SQRT(Assumptions!$C$10)))-Assumptions!$C$7*EXP(-Assumptions!$C$9*Assumptions!$C$10)*NORMSDIST(((LN(2150/Assumptions!$C$7)+(Assumptions!$C$9-Assumptions!$C$11+0.5^2/2)*Assumptions!$C$10)/(0.5*SQRT(Assumptions!$C$10)))-0.5*SQRT(Assumptions!$C$10))</f>
        <v>104.822025385008</v>
      </c>
    </row>
    <row r="16" customFormat="false" ht="15.75" hidden="false" customHeight="true" outlineLevel="0" collapsed="false">
      <c r="B16" s="82" t="n">
        <v>2200</v>
      </c>
      <c r="C16" s="83" t="n">
        <f aca="false">2200*EXP(-Assumptions!$C$11*Assumptions!$C$10)*NORMSDIST((LN(2200/Assumptions!$C$7)+(Assumptions!$C$9-Assumptions!$C$11+0.1^2/2)*Assumptions!$C$10)/(0.1*SQRT(Assumptions!$C$10)))-Assumptions!$C$7*EXP(-Assumptions!$C$9*Assumptions!$C$10)*NORMSDIST(((LN(2200/Assumptions!$C$7)+(Assumptions!$C$9-Assumptions!$C$11+0.1^2/2)*Assumptions!$C$10)/(0.1*SQRT(Assumptions!$C$10)))-0.1*SQRT(Assumptions!$C$10))</f>
        <v>0.448637464771149</v>
      </c>
      <c r="D16" s="83" t="n">
        <f aca="false">2200*EXP(-Assumptions!$C$11*Assumptions!$C$10)*NORMSDIST((LN(2200/Assumptions!$C$7)+(Assumptions!$C$9-Assumptions!$C$11+0.15^2/2)*Assumptions!$C$10)/(0.15*SQRT(Assumptions!$C$10)))-Assumptions!$C$7*EXP(-Assumptions!$C$9*Assumptions!$C$10)*NORMSDIST(((LN(2200/Assumptions!$C$7)+(Assumptions!$C$9-Assumptions!$C$11+0.15^2/2)*Assumptions!$C$10)/(0.15*SQRT(Assumptions!$C$10)))-0.15*SQRT(Assumptions!$C$10))</f>
        <v>4.8634187555397</v>
      </c>
      <c r="E16" s="83" t="n">
        <f aca="false">2200*EXP(-Assumptions!$C$11*Assumptions!$C$10)*NORMSDIST((LN(2200/Assumptions!$C$7)+(Assumptions!$C$9-Assumptions!$C$11+0.2^2/2)*Assumptions!$C$10)/(0.2*SQRT(Assumptions!$C$10)))-Assumptions!$C$7*EXP(-Assumptions!$C$9*Assumptions!$C$10)*NORMSDIST(((LN(2200/Assumptions!$C$7)+(Assumptions!$C$9-Assumptions!$C$11+0.2^2/2)*Assumptions!$C$10)/(0.2*SQRT(Assumptions!$C$10)))-0.2*SQRT(Assumptions!$C$10))</f>
        <v>14.6848699571767</v>
      </c>
      <c r="F16" s="83" t="n">
        <f aca="false">2200*EXP(-Assumptions!$C$11*Assumptions!$C$10)*NORMSDIST((LN(2200/Assumptions!$C$7)+(Assumptions!$C$9-Assumptions!$C$11+0.25^2/2)*Assumptions!$C$10)/(0.25*SQRT(Assumptions!$C$10)))-Assumptions!$C$7*EXP(-Assumptions!$C$9*Assumptions!$C$10)*NORMSDIST(((LN(2200/Assumptions!$C$7)+(Assumptions!$C$9-Assumptions!$C$11+0.25^2/2)*Assumptions!$C$10)/(0.25*SQRT(Assumptions!$C$10)))-0.25*SQRT(Assumptions!$C$10))</f>
        <v>28.4615806784928</v>
      </c>
      <c r="G16" s="83" t="n">
        <f aca="false">2200*EXP(-Assumptions!$C$11*Assumptions!$C$10)*NORMSDIST((LN(2200/Assumptions!$C$7)+(Assumptions!$C$9-Assumptions!$C$11+0.3^2/2)*Assumptions!$C$10)/(0.3*SQRT(Assumptions!$C$10)))-Assumptions!$C$7*EXP(-Assumptions!$C$9*Assumptions!$C$10)*NORMSDIST(((LN(2200/Assumptions!$C$7)+(Assumptions!$C$9-Assumptions!$C$11+0.3^2/2)*Assumptions!$C$10)/(0.3*SQRT(Assumptions!$C$10)))-0.3*SQRT(Assumptions!$C$10))</f>
        <v>44.810438513741</v>
      </c>
      <c r="H16" s="83" t="n">
        <f aca="false">2200*EXP(-Assumptions!$C$11*Assumptions!$C$10)*NORMSDIST((LN(2200/Assumptions!$C$7)+(Assumptions!$C$9-Assumptions!$C$11+0.35^2/2)*Assumptions!$C$10)/(0.35*SQRT(Assumptions!$C$10)))-Assumptions!$C$7*EXP(-Assumptions!$C$9*Assumptions!$C$10)*NORMSDIST(((LN(2200/Assumptions!$C$7)+(Assumptions!$C$9-Assumptions!$C$11+0.35^2/2)*Assumptions!$C$10)/(0.35*SQRT(Assumptions!$C$10)))-0.35*SQRT(Assumptions!$C$10))</f>
        <v>62.8390704509741</v>
      </c>
      <c r="I16" s="83" t="n">
        <f aca="false">2200*EXP(-Assumptions!$C$11*Assumptions!$C$10)*NORMSDIST((LN(2200/Assumptions!$C$7)+(Assumptions!$C$9-Assumptions!$C$11+0.4^2/2)*Assumptions!$C$10)/(0.4*SQRT(Assumptions!$C$10)))-Assumptions!$C$7*EXP(-Assumptions!$C$9*Assumptions!$C$10)*NORMSDIST(((LN(2200/Assumptions!$C$7)+(Assumptions!$C$9-Assumptions!$C$11+0.4^2/2)*Assumptions!$C$10)/(0.4*SQRT(Assumptions!$C$10)))-0.4*SQRT(Assumptions!$C$10))</f>
        <v>81.9967668250677</v>
      </c>
      <c r="J16" s="83" t="n">
        <f aca="false">2200*EXP(-Assumptions!$C$11*Assumptions!$C$10)*NORMSDIST((LN(2200/Assumptions!$C$7)+(Assumptions!$C$9-Assumptions!$C$11+0.45^2/2)*Assumptions!$C$10)/(0.45*SQRT(Assumptions!$C$10)))-Assumptions!$C$7*EXP(-Assumptions!$C$9*Assumptions!$C$10)*NORMSDIST(((LN(2200/Assumptions!$C$7)+(Assumptions!$C$9-Assumptions!$C$11+0.45^2/2)*Assumptions!$C$10)/(0.45*SQRT(Assumptions!$C$10)))-0.45*SQRT(Assumptions!$C$10))</f>
        <v>101.93658624767</v>
      </c>
      <c r="K16" s="83" t="n">
        <f aca="false">2200*EXP(-Assumptions!$C$11*Assumptions!$C$10)*NORMSDIST((LN(2200/Assumptions!$C$7)+(Assumptions!$C$9-Assumptions!$C$11+0.5^2/2)*Assumptions!$C$10)/(0.5*SQRT(Assumptions!$C$10)))-Assumptions!$C$7*EXP(-Assumptions!$C$9*Assumptions!$C$10)*NORMSDIST(((LN(2200/Assumptions!$C$7)+(Assumptions!$C$9-Assumptions!$C$11+0.5^2/2)*Assumptions!$C$10)/(0.5*SQRT(Assumptions!$C$10)))-0.5*SQRT(Assumptions!$C$10))</f>
        <v>122.43222001348</v>
      </c>
    </row>
    <row r="17" customFormat="false" ht="15.75" hidden="false" customHeight="true" outlineLevel="0" collapsed="false">
      <c r="B17" s="80" t="n">
        <v>2250</v>
      </c>
      <c r="C17" s="81" t="n">
        <f aca="false">2250*EXP(-Assumptions!$C$11*Assumptions!$C$10)*NORMSDIST((LN(2250/Assumptions!$C$7)+(Assumptions!$C$9-Assumptions!$C$11+0.1^2/2)*Assumptions!$C$10)/(0.1*SQRT(Assumptions!$C$10)))-Assumptions!$C$7*EXP(-Assumptions!$C$9*Assumptions!$C$10)*NORMSDIST(((LN(2250/Assumptions!$C$7)+(Assumptions!$C$9-Assumptions!$C$11+0.1^2/2)*Assumptions!$C$10)/(0.1*SQRT(Assumptions!$C$10)))-0.1*SQRT(Assumptions!$C$10))</f>
        <v>1.54546671954289</v>
      </c>
      <c r="D17" s="81" t="n">
        <f aca="false">2250*EXP(-Assumptions!$C$11*Assumptions!$C$10)*NORMSDIST((LN(2250/Assumptions!$C$7)+(Assumptions!$C$9-Assumptions!$C$11+0.15^2/2)*Assumptions!$C$10)/(0.15*SQRT(Assumptions!$C$10)))-Assumptions!$C$7*EXP(-Assumptions!$C$9*Assumptions!$C$10)*NORMSDIST(((LN(2250/Assumptions!$C$7)+(Assumptions!$C$9-Assumptions!$C$11+0.15^2/2)*Assumptions!$C$10)/(0.15*SQRT(Assumptions!$C$10)))-0.15*SQRT(Assumptions!$C$10))</f>
        <v>9.45416775373866</v>
      </c>
      <c r="E17" s="81" t="n">
        <f aca="false">2250*EXP(-Assumptions!$C$11*Assumptions!$C$10)*NORMSDIST((LN(2250/Assumptions!$C$7)+(Assumptions!$C$9-Assumptions!$C$11+0.2^2/2)*Assumptions!$C$10)/(0.2*SQRT(Assumptions!$C$10)))-Assumptions!$C$7*EXP(-Assumptions!$C$9*Assumptions!$C$10)*NORMSDIST(((LN(2250/Assumptions!$C$7)+(Assumptions!$C$9-Assumptions!$C$11+0.2^2/2)*Assumptions!$C$10)/(0.2*SQRT(Assumptions!$C$10)))-0.2*SQRT(Assumptions!$C$10))</f>
        <v>22.8909996032369</v>
      </c>
      <c r="F17" s="81" t="n">
        <f aca="false">2250*EXP(-Assumptions!$C$11*Assumptions!$C$10)*NORMSDIST((LN(2250/Assumptions!$C$7)+(Assumptions!$C$9-Assumptions!$C$11+0.25^2/2)*Assumptions!$C$10)/(0.25*SQRT(Assumptions!$C$10)))-Assumptions!$C$7*EXP(-Assumptions!$C$9*Assumptions!$C$10)*NORMSDIST(((LN(2250/Assumptions!$C$7)+(Assumptions!$C$9-Assumptions!$C$11+0.25^2/2)*Assumptions!$C$10)/(0.25*SQRT(Assumptions!$C$10)))-0.25*SQRT(Assumptions!$C$10))</f>
        <v>39.6311804256097</v>
      </c>
      <c r="G17" s="81" t="n">
        <f aca="false">2250*EXP(-Assumptions!$C$11*Assumptions!$C$10)*NORMSDIST((LN(2250/Assumptions!$C$7)+(Assumptions!$C$9-Assumptions!$C$11+0.3^2/2)*Assumptions!$C$10)/(0.3*SQRT(Assumptions!$C$10)))-Assumptions!$C$7*EXP(-Assumptions!$C$9*Assumptions!$C$10)*NORMSDIST(((LN(2250/Assumptions!$C$7)+(Assumptions!$C$9-Assumptions!$C$11+0.3^2/2)*Assumptions!$C$10)/(0.3*SQRT(Assumptions!$C$10)))-0.3*SQRT(Assumptions!$C$10))</f>
        <v>58.3265405156928</v>
      </c>
      <c r="H17" s="81" t="n">
        <f aca="false">2250*EXP(-Assumptions!$C$11*Assumptions!$C$10)*NORMSDIST((LN(2250/Assumptions!$C$7)+(Assumptions!$C$9-Assumptions!$C$11+0.35^2/2)*Assumptions!$C$10)/(0.35*SQRT(Assumptions!$C$10)))-Assumptions!$C$7*EXP(-Assumptions!$C$9*Assumptions!$C$10)*NORMSDIST(((LN(2250/Assumptions!$C$7)+(Assumptions!$C$9-Assumptions!$C$11+0.35^2/2)*Assumptions!$C$10)/(0.35*SQRT(Assumptions!$C$10)))-0.35*SQRT(Assumptions!$C$10))</f>
        <v>78.2342246804171</v>
      </c>
      <c r="I17" s="81" t="n">
        <f aca="false">2250*EXP(-Assumptions!$C$11*Assumptions!$C$10)*NORMSDIST((LN(2250/Assumptions!$C$7)+(Assumptions!$C$9-Assumptions!$C$11+0.4^2/2)*Assumptions!$C$10)/(0.4*SQRT(Assumptions!$C$10)))-Assumptions!$C$7*EXP(-Assumptions!$C$9*Assumptions!$C$10)*NORMSDIST(((LN(2250/Assumptions!$C$7)+(Assumptions!$C$9-Assumptions!$C$11+0.4^2/2)*Assumptions!$C$10)/(0.4*SQRT(Assumptions!$C$10)))-0.4*SQRT(Assumptions!$C$10))</f>
        <v>98.9297758255509</v>
      </c>
      <c r="J17" s="81" t="n">
        <f aca="false">2250*EXP(-Assumptions!$C$11*Assumptions!$C$10)*NORMSDIST((LN(2250/Assumptions!$C$7)+(Assumptions!$C$9-Assumptions!$C$11+0.45^2/2)*Assumptions!$C$10)/(0.45*SQRT(Assumptions!$C$10)))-Assumptions!$C$7*EXP(-Assumptions!$C$9*Assumptions!$C$10)*NORMSDIST(((LN(2250/Assumptions!$C$7)+(Assumptions!$C$9-Assumptions!$C$11+0.45^2/2)*Assumptions!$C$10)/(0.45*SQRT(Assumptions!$C$10)))-0.45*SQRT(Assumptions!$C$10))</f>
        <v>120.157108791212</v>
      </c>
      <c r="K17" s="81" t="n">
        <f aca="false">2250*EXP(-Assumptions!$C$11*Assumptions!$C$10)*NORMSDIST((LN(2250/Assumptions!$C$7)+(Assumptions!$C$9-Assumptions!$C$11+0.5^2/2)*Assumptions!$C$10)/(0.5*SQRT(Assumptions!$C$10)))-Assumptions!$C$7*EXP(-Assumptions!$C$9*Assumptions!$C$10)*NORMSDIST(((LN(2250/Assumptions!$C$7)+(Assumptions!$C$9-Assumptions!$C$11+0.5^2/2)*Assumptions!$C$10)/(0.5*SQRT(Assumptions!$C$10)))-0.5*SQRT(Assumptions!$C$10))</f>
        <v>141.753452914573</v>
      </c>
    </row>
    <row r="18" customFormat="false" ht="15.75" hidden="false" customHeight="true" outlineLevel="0" collapsed="false">
      <c r="B18" s="82" t="n">
        <v>2300</v>
      </c>
      <c r="C18" s="83" t="n">
        <f aca="false">2300*EXP(-Assumptions!$C$11*Assumptions!$C$10)*NORMSDIST((LN(2300/Assumptions!$C$7)+(Assumptions!$C$9-Assumptions!$C$11+0.1^2/2)*Assumptions!$C$10)/(0.1*SQRT(Assumptions!$C$10)))-Assumptions!$C$7*EXP(-Assumptions!$C$9*Assumptions!$C$10)*NORMSDIST(((LN(2300/Assumptions!$C$7)+(Assumptions!$C$9-Assumptions!$C$11+0.1^2/2)*Assumptions!$C$10)/(0.1*SQRT(Assumptions!$C$10)))-0.1*SQRT(Assumptions!$C$10))</f>
        <v>4.42551209008855</v>
      </c>
      <c r="D18" s="83" t="n">
        <f aca="false">2300*EXP(-Assumptions!$C$11*Assumptions!$C$10)*NORMSDIST((LN(2300/Assumptions!$C$7)+(Assumptions!$C$9-Assumptions!$C$11+0.15^2/2)*Assumptions!$C$10)/(0.15*SQRT(Assumptions!$C$10)))-Assumptions!$C$7*EXP(-Assumptions!$C$9*Assumptions!$C$10)*NORMSDIST(((LN(2300/Assumptions!$C$7)+(Assumptions!$C$9-Assumptions!$C$11+0.15^2/2)*Assumptions!$C$10)/(0.15*SQRT(Assumptions!$C$10)))-0.15*SQRT(Assumptions!$C$10))</f>
        <v>16.9729268535559</v>
      </c>
      <c r="E18" s="83" t="n">
        <f aca="false">2300*EXP(-Assumptions!$C$11*Assumptions!$C$10)*NORMSDIST((LN(2300/Assumptions!$C$7)+(Assumptions!$C$9-Assumptions!$C$11+0.2^2/2)*Assumptions!$C$10)/(0.2*SQRT(Assumptions!$C$10)))-Assumptions!$C$7*EXP(-Assumptions!$C$9*Assumptions!$C$10)*NORMSDIST(((LN(2300/Assumptions!$C$7)+(Assumptions!$C$9-Assumptions!$C$11+0.2^2/2)*Assumptions!$C$10)/(0.2*SQRT(Assumptions!$C$10)))-0.2*SQRT(Assumptions!$C$10))</f>
        <v>34.1297486496194</v>
      </c>
      <c r="F18" s="83" t="n">
        <f aca="false">2300*EXP(-Assumptions!$C$11*Assumptions!$C$10)*NORMSDIST((LN(2300/Assumptions!$C$7)+(Assumptions!$C$9-Assumptions!$C$11+0.25^2/2)*Assumptions!$C$10)/(0.25*SQRT(Assumptions!$C$10)))-Assumptions!$C$7*EXP(-Assumptions!$C$9*Assumptions!$C$10)*NORMSDIST(((LN(2300/Assumptions!$C$7)+(Assumptions!$C$9-Assumptions!$C$11+0.25^2/2)*Assumptions!$C$10)/(0.25*SQRT(Assumptions!$C$10)))-0.25*SQRT(Assumptions!$C$10))</f>
        <v>53.6204800252561</v>
      </c>
      <c r="G18" s="83" t="n">
        <f aca="false">2300*EXP(-Assumptions!$C$11*Assumptions!$C$10)*NORMSDIST((LN(2300/Assumptions!$C$7)+(Assumptions!$C$9-Assumptions!$C$11+0.3^2/2)*Assumptions!$C$10)/(0.3*SQRT(Assumptions!$C$10)))-Assumptions!$C$7*EXP(-Assumptions!$C$9*Assumptions!$C$10)*NORMSDIST(((LN(2300/Assumptions!$C$7)+(Assumptions!$C$9-Assumptions!$C$11+0.3^2/2)*Assumptions!$C$10)/(0.3*SQRT(Assumptions!$C$10)))-0.3*SQRT(Assumptions!$C$10))</f>
        <v>74.3920853651816</v>
      </c>
      <c r="H18" s="83" t="n">
        <f aca="false">2300*EXP(-Assumptions!$C$11*Assumptions!$C$10)*NORMSDIST((LN(2300/Assumptions!$C$7)+(Assumptions!$C$9-Assumptions!$C$11+0.35^2/2)*Assumptions!$C$10)/(0.35*SQRT(Assumptions!$C$10)))-Assumptions!$C$7*EXP(-Assumptions!$C$9*Assumptions!$C$10)*NORMSDIST(((LN(2300/Assumptions!$C$7)+(Assumptions!$C$9-Assumptions!$C$11+0.35^2/2)*Assumptions!$C$10)/(0.35*SQRT(Assumptions!$C$10)))-0.35*SQRT(Assumptions!$C$10))</f>
        <v>95.9239271967475</v>
      </c>
      <c r="I18" s="83" t="n">
        <f aca="false">2300*EXP(-Assumptions!$C$11*Assumptions!$C$10)*NORMSDIST((LN(2300/Assumptions!$C$7)+(Assumptions!$C$9-Assumptions!$C$11+0.4^2/2)*Assumptions!$C$10)/(0.4*SQRT(Assumptions!$C$10)))-Assumptions!$C$7*EXP(-Assumptions!$C$9*Assumptions!$C$10)*NORMSDIST(((LN(2300/Assumptions!$C$7)+(Assumptions!$C$9-Assumptions!$C$11+0.4^2/2)*Assumptions!$C$10)/(0.4*SQRT(Assumptions!$C$10)))-0.4*SQRT(Assumptions!$C$10))</f>
        <v>117.934183708494</v>
      </c>
      <c r="J18" s="83" t="n">
        <f aca="false">2300*EXP(-Assumptions!$C$11*Assumptions!$C$10)*NORMSDIST((LN(2300/Assumptions!$C$7)+(Assumptions!$C$9-Assumptions!$C$11+0.45^2/2)*Assumptions!$C$10)/(0.45*SQRT(Assumptions!$C$10)))-Assumptions!$C$7*EXP(-Assumptions!$C$9*Assumptions!$C$10)*NORMSDIST(((LN(2300/Assumptions!$C$7)+(Assumptions!$C$9-Assumptions!$C$11+0.45^2/2)*Assumptions!$C$10)/(0.45*SQRT(Assumptions!$C$10)))-0.45*SQRT(Assumptions!$C$10))</f>
        <v>140.25776698753</v>
      </c>
      <c r="K18" s="83" t="n">
        <f aca="false">2300*EXP(-Assumptions!$C$11*Assumptions!$C$10)*NORMSDIST((LN(2300/Assumptions!$C$7)+(Assumptions!$C$9-Assumptions!$C$11+0.5^2/2)*Assumptions!$C$10)/(0.5*SQRT(Assumptions!$C$10)))-Assumptions!$C$7*EXP(-Assumptions!$C$9*Assumptions!$C$10)*NORMSDIST(((LN(2300/Assumptions!$C$7)+(Assumptions!$C$9-Assumptions!$C$11+0.5^2/2)*Assumptions!$C$10)/(0.5*SQRT(Assumptions!$C$10)))-0.5*SQRT(Assumptions!$C$10))</f>
        <v>162.791400519218</v>
      </c>
    </row>
    <row r="19" customFormat="false" ht="15.75" hidden="false" customHeight="true" outlineLevel="0" collapsed="false">
      <c r="B19" s="80" t="n">
        <v>2350</v>
      </c>
      <c r="C19" s="81" t="n">
        <f aca="false">2350*EXP(-Assumptions!$C$11*Assumptions!$C$10)*NORMSDIST((LN(2350/Assumptions!$C$7)+(Assumptions!$C$9-Assumptions!$C$11+0.1^2/2)*Assumptions!$C$10)/(0.1*SQRT(Assumptions!$C$10)))-Assumptions!$C$7*EXP(-Assumptions!$C$9*Assumptions!$C$10)*NORMSDIST(((LN(2350/Assumptions!$C$7)+(Assumptions!$C$9-Assumptions!$C$11+0.1^2/2)*Assumptions!$C$10)/(0.1*SQRT(Assumptions!$C$10)))-0.1*SQRT(Assumptions!$C$10))</f>
        <v>10.7356780360856</v>
      </c>
      <c r="D19" s="81" t="n">
        <f aca="false">2350*EXP(-Assumptions!$C$11*Assumptions!$C$10)*NORMSDIST((LN(2350/Assumptions!$C$7)+(Assumptions!$C$9-Assumptions!$C$11+0.15^2/2)*Assumptions!$C$10)/(0.15*SQRT(Assumptions!$C$10)))-Assumptions!$C$7*EXP(-Assumptions!$C$9*Assumptions!$C$10)*NORMSDIST(((LN(2350/Assumptions!$C$7)+(Assumptions!$C$9-Assumptions!$C$11+0.15^2/2)*Assumptions!$C$10)/(0.15*SQRT(Assumptions!$C$10)))-0.15*SQRT(Assumptions!$C$10))</f>
        <v>28.3590481586203</v>
      </c>
      <c r="E19" s="81" t="n">
        <f aca="false">2350*EXP(-Assumptions!$C$11*Assumptions!$C$10)*NORMSDIST((LN(2350/Assumptions!$C$7)+(Assumptions!$C$9-Assumptions!$C$11+0.2^2/2)*Assumptions!$C$10)/(0.2*SQRT(Assumptions!$C$10)))-Assumptions!$C$7*EXP(-Assumptions!$C$9*Assumptions!$C$10)*NORMSDIST(((LN(2350/Assumptions!$C$7)+(Assumptions!$C$9-Assumptions!$C$11+0.2^2/2)*Assumptions!$C$10)/(0.2*SQRT(Assumptions!$C$10)))-0.2*SQRT(Assumptions!$C$10))</f>
        <v>48.8682651486081</v>
      </c>
      <c r="F19" s="81" t="n">
        <f aca="false">2350*EXP(-Assumptions!$C$11*Assumptions!$C$10)*NORMSDIST((LN(2350/Assumptions!$C$7)+(Assumptions!$C$9-Assumptions!$C$11+0.25^2/2)*Assumptions!$C$10)/(0.25*SQRT(Assumptions!$C$10)))-Assumptions!$C$7*EXP(-Assumptions!$C$9*Assumptions!$C$10)*NORMSDIST(((LN(2350/Assumptions!$C$7)+(Assumptions!$C$9-Assumptions!$C$11+0.25^2/2)*Assumptions!$C$10)/(0.25*SQRT(Assumptions!$C$10)))-0.25*SQRT(Assumptions!$C$10))</f>
        <v>70.6648579680139</v>
      </c>
      <c r="G19" s="81" t="n">
        <f aca="false">2350*EXP(-Assumptions!$C$11*Assumptions!$C$10)*NORMSDIST((LN(2350/Assumptions!$C$7)+(Assumptions!$C$9-Assumptions!$C$11+0.3^2/2)*Assumptions!$C$10)/(0.3*SQRT(Assumptions!$C$10)))-Assumptions!$C$7*EXP(-Assumptions!$C$9*Assumptions!$C$10)*NORMSDIST(((LN(2350/Assumptions!$C$7)+(Assumptions!$C$9-Assumptions!$C$11+0.3^2/2)*Assumptions!$C$10)/(0.3*SQRT(Assumptions!$C$10)))-0.3*SQRT(Assumptions!$C$10))</f>
        <v>93.1263793145303</v>
      </c>
      <c r="H19" s="81" t="n">
        <f aca="false">2350*EXP(-Assumptions!$C$11*Assumptions!$C$10)*NORMSDIST((LN(2350/Assumptions!$C$7)+(Assumptions!$C$9-Assumptions!$C$11+0.35^2/2)*Assumptions!$C$10)/(0.35*SQRT(Assumptions!$C$10)))-Assumptions!$C$7*EXP(-Assumptions!$C$9*Assumptions!$C$10)*NORMSDIST(((LN(2350/Assumptions!$C$7)+(Assumptions!$C$9-Assumptions!$C$11+0.35^2/2)*Assumptions!$C$10)/(0.35*SQRT(Assumptions!$C$10)))-0.35*SQRT(Assumptions!$C$10))</f>
        <v>115.96605812537</v>
      </c>
      <c r="I19" s="81" t="n">
        <f aca="false">2350*EXP(-Assumptions!$C$11*Assumptions!$C$10)*NORMSDIST((LN(2350/Assumptions!$C$7)+(Assumptions!$C$9-Assumptions!$C$11+0.4^2/2)*Assumptions!$C$10)/(0.4*SQRT(Assumptions!$C$10)))-Assumptions!$C$7*EXP(-Assumptions!$C$9*Assumptions!$C$10)*NORMSDIST(((LN(2350/Assumptions!$C$7)+(Assumptions!$C$9-Assumptions!$C$11+0.4^2/2)*Assumptions!$C$10)/(0.4*SQRT(Assumptions!$C$10)))-0.4*SQRT(Assumptions!$C$10))</f>
        <v>139.033685926967</v>
      </c>
      <c r="J19" s="81" t="n">
        <f aca="false">2350*EXP(-Assumptions!$C$11*Assumptions!$C$10)*NORMSDIST((LN(2350/Assumptions!$C$7)+(Assumptions!$C$9-Assumptions!$C$11+0.45^2/2)*Assumptions!$C$10)/(0.45*SQRT(Assumptions!$C$10)))-Assumptions!$C$7*EXP(-Assumptions!$C$9*Assumptions!$C$10)*NORMSDIST(((LN(2350/Assumptions!$C$7)+(Assumptions!$C$9-Assumptions!$C$11+0.45^2/2)*Assumptions!$C$10)/(0.45*SQRT(Assumptions!$C$10)))-0.45*SQRT(Assumptions!$C$10))</f>
        <v>162.242480367396</v>
      </c>
      <c r="K19" s="81" t="n">
        <f aca="false">2350*EXP(-Assumptions!$C$11*Assumptions!$C$10)*NORMSDIST((LN(2350/Assumptions!$C$7)+(Assumptions!$C$9-Assumptions!$C$11+0.5^2/2)*Assumptions!$C$10)/(0.5*SQRT(Assumptions!$C$10)))-Assumptions!$C$7*EXP(-Assumptions!$C$9*Assumptions!$C$10)*NORMSDIST(((LN(2350/Assumptions!$C$7)+(Assumptions!$C$9-Assumptions!$C$11+0.5^2/2)*Assumptions!$C$10)/(0.5*SQRT(Assumptions!$C$10)))-0.5*SQRT(Assumptions!$C$10))</f>
        <v>185.538236869376</v>
      </c>
    </row>
    <row r="20" customFormat="false" ht="15.75" hidden="false" customHeight="true" outlineLevel="0" collapsed="false">
      <c r="B20" s="82" t="n">
        <v>2400</v>
      </c>
      <c r="C20" s="83" t="n">
        <f aca="false">2400*EXP(-Assumptions!$C$11*Assumptions!$C$10)*NORMSDIST((LN(2400/Assumptions!$C$7)+(Assumptions!$C$9-Assumptions!$C$11+0.1^2/2)*Assumptions!$C$10)/(0.1*SQRT(Assumptions!$C$10)))-Assumptions!$C$7*EXP(-Assumptions!$C$9*Assumptions!$C$10)*NORMSDIST(((LN(2400/Assumptions!$C$7)+(Assumptions!$C$9-Assumptions!$C$11+0.1^2/2)*Assumptions!$C$10)/(0.1*SQRT(Assumptions!$C$10)))-0.1*SQRT(Assumptions!$C$10))</f>
        <v>22.4804189035411</v>
      </c>
      <c r="D20" s="83" t="n">
        <f aca="false">2400*EXP(-Assumptions!$C$11*Assumptions!$C$10)*NORMSDIST((LN(2400/Assumptions!$C$7)+(Assumptions!$C$9-Assumptions!$C$11+0.15^2/2)*Assumptions!$C$10)/(0.15*SQRT(Assumptions!$C$10)))-Assumptions!$C$7*EXP(-Assumptions!$C$9*Assumptions!$C$10)*NORMSDIST(((LN(2400/Assumptions!$C$7)+(Assumptions!$C$9-Assumptions!$C$11+0.15^2/2)*Assumptions!$C$10)/(0.15*SQRT(Assumptions!$C$10)))-0.15*SQRT(Assumptions!$C$10))</f>
        <v>44.4243371187489</v>
      </c>
      <c r="E20" s="83" t="n">
        <f aca="false">2400*EXP(-Assumptions!$C$11*Assumptions!$C$10)*NORMSDIST((LN(2400/Assumptions!$C$7)+(Assumptions!$C$9-Assumptions!$C$11+0.2^2/2)*Assumptions!$C$10)/(0.2*SQRT(Assumptions!$C$10)))-Assumptions!$C$7*EXP(-Assumptions!$C$9*Assumptions!$C$10)*NORMSDIST(((LN(2400/Assumptions!$C$7)+(Assumptions!$C$9-Assumptions!$C$11+0.2^2/2)*Assumptions!$C$10)/(0.2*SQRT(Assumptions!$C$10)))-0.2*SQRT(Assumptions!$C$10))</f>
        <v>67.4509546061801</v>
      </c>
      <c r="F20" s="83" t="n">
        <f aca="false">2400*EXP(-Assumptions!$C$11*Assumptions!$C$10)*NORMSDIST((LN(2400/Assumptions!$C$7)+(Assumptions!$C$9-Assumptions!$C$11+0.25^2/2)*Assumptions!$C$10)/(0.25*SQRT(Assumptions!$C$10)))-Assumptions!$C$7*EXP(-Assumptions!$C$9*Assumptions!$C$10)*NORMSDIST(((LN(2400/Assumptions!$C$7)+(Assumptions!$C$9-Assumptions!$C$11+0.25^2/2)*Assumptions!$C$10)/(0.25*SQRT(Assumptions!$C$10)))-0.25*SQRT(Assumptions!$C$10))</f>
        <v>90.9167579886851</v>
      </c>
      <c r="G20" s="83" t="n">
        <f aca="false">2400*EXP(-Assumptions!$C$11*Assumptions!$C$10)*NORMSDIST((LN(2400/Assumptions!$C$7)+(Assumptions!$C$9-Assumptions!$C$11+0.3^2/2)*Assumptions!$C$10)/(0.3*SQRT(Assumptions!$C$10)))-Assumptions!$C$7*EXP(-Assumptions!$C$9*Assumptions!$C$10)*NORMSDIST(((LN(2400/Assumptions!$C$7)+(Assumptions!$C$9-Assumptions!$C$11+0.3^2/2)*Assumptions!$C$10)/(0.3*SQRT(Assumptions!$C$10)))-0.3*SQRT(Assumptions!$C$10))</f>
        <v>114.594372535493</v>
      </c>
      <c r="H20" s="83" t="n">
        <f aca="false">2400*EXP(-Assumptions!$C$11*Assumptions!$C$10)*NORMSDIST((LN(2400/Assumptions!$C$7)+(Assumptions!$C$9-Assumptions!$C$11+0.35^2/2)*Assumptions!$C$10)/(0.35*SQRT(Assumptions!$C$10)))-Assumptions!$C$7*EXP(-Assumptions!$C$9*Assumptions!$C$10)*NORMSDIST(((LN(2400/Assumptions!$C$7)+(Assumptions!$C$9-Assumptions!$C$11+0.35^2/2)*Assumptions!$C$10)/(0.35*SQRT(Assumptions!$C$10)))-0.35*SQRT(Assumptions!$C$10))</f>
        <v>138.382231496773</v>
      </c>
      <c r="I20" s="83" t="n">
        <f aca="false">2400*EXP(-Assumptions!$C$11*Assumptions!$C$10)*NORMSDIST((LN(2400/Assumptions!$C$7)+(Assumptions!$C$9-Assumptions!$C$11+0.4^2/2)*Assumptions!$C$10)/(0.4*SQRT(Assumptions!$C$10)))-Assumptions!$C$7*EXP(-Assumptions!$C$9*Assumptions!$C$10)*NORMSDIST(((LN(2400/Assumptions!$C$7)+(Assumptions!$C$9-Assumptions!$C$11+0.4^2/2)*Assumptions!$C$10)/(0.4*SQRT(Assumptions!$C$10)))-0.4*SQRT(Assumptions!$C$10))</f>
        <v>162.227151503992</v>
      </c>
      <c r="J20" s="83" t="n">
        <f aca="false">2400*EXP(-Assumptions!$C$11*Assumptions!$C$10)*NORMSDIST((LN(2400/Assumptions!$C$7)+(Assumptions!$C$9-Assumptions!$C$11+0.45^2/2)*Assumptions!$C$10)/(0.45*SQRT(Assumptions!$C$10)))-Assumptions!$C$7*EXP(-Assumptions!$C$9*Assumptions!$C$10)*NORMSDIST(((LN(2400/Assumptions!$C$7)+(Assumptions!$C$9-Assumptions!$C$11+0.45^2/2)*Assumptions!$C$10)/(0.45*SQRT(Assumptions!$C$10)))-0.45*SQRT(Assumptions!$C$10))</f>
        <v>186.097755539771</v>
      </c>
      <c r="K20" s="83" t="n">
        <f aca="false">2400*EXP(-Assumptions!$C$11*Assumptions!$C$10)*NORMSDIST((LN(2400/Assumptions!$C$7)+(Assumptions!$C$9-Assumptions!$C$11+0.5^2/2)*Assumptions!$C$10)/(0.5*SQRT(Assumptions!$C$10)))-Assumptions!$C$7*EXP(-Assumptions!$C$9*Assumptions!$C$10)*NORMSDIST(((LN(2400/Assumptions!$C$7)+(Assumptions!$C$9-Assumptions!$C$11+0.5^2/2)*Assumptions!$C$10)/(0.5*SQRT(Assumptions!$C$10)))-0.5*SQRT(Assumptions!$C$10))</f>
        <v>209.973668670143</v>
      </c>
    </row>
    <row r="21" customFormat="false" ht="15.75" hidden="false" customHeight="true" outlineLevel="0" collapsed="false">
      <c r="B21" s="80" t="n">
        <v>2450</v>
      </c>
      <c r="C21" s="81" t="n">
        <f aca="false">2450*EXP(-Assumptions!$C$11*Assumptions!$C$10)*NORMSDIST((LN(2450/Assumptions!$C$7)+(Assumptions!$C$9-Assumptions!$C$11+0.1^2/2)*Assumptions!$C$10)/(0.1*SQRT(Assumptions!$C$10)))-Assumptions!$C$7*EXP(-Assumptions!$C$9*Assumptions!$C$10)*NORMSDIST(((LN(2450/Assumptions!$C$7)+(Assumptions!$C$9-Assumptions!$C$11+0.1^2/2)*Assumptions!$C$10)/(0.1*SQRT(Assumptions!$C$10)))-0.1*SQRT(Assumptions!$C$10))</f>
        <v>41.3973488129934</v>
      </c>
      <c r="D21" s="81" t="n">
        <f aca="false">2450*EXP(-Assumptions!$C$11*Assumptions!$C$10)*NORMSDIST((LN(2450/Assumptions!$C$7)+(Assumptions!$C$9-Assumptions!$C$11+0.15^2/2)*Assumptions!$C$10)/(0.15*SQRT(Assumptions!$C$10)))-Assumptions!$C$7*EXP(-Assumptions!$C$9*Assumptions!$C$10)*NORMSDIST(((LN(2450/Assumptions!$C$7)+(Assumptions!$C$9-Assumptions!$C$11+0.15^2/2)*Assumptions!$C$10)/(0.15*SQRT(Assumptions!$C$10)))-0.15*SQRT(Assumptions!$C$10))</f>
        <v>65.7029284443618</v>
      </c>
      <c r="E21" s="81" t="n">
        <f aca="false">2450*EXP(-Assumptions!$C$11*Assumptions!$C$10)*NORMSDIST((LN(2450/Assumptions!$C$7)+(Assumptions!$C$9-Assumptions!$C$11+0.2^2/2)*Assumptions!$C$10)/(0.2*SQRT(Assumptions!$C$10)))-Assumptions!$C$7*EXP(-Assumptions!$C$9*Assumptions!$C$10)*NORMSDIST(((LN(2450/Assumptions!$C$7)+(Assumptions!$C$9-Assumptions!$C$11+0.2^2/2)*Assumptions!$C$10)/(0.2*SQRT(Assumptions!$C$10)))-0.2*SQRT(Assumptions!$C$10))</f>
        <v>90.0646313603165</v>
      </c>
      <c r="F21" s="81" t="n">
        <f aca="false">2450*EXP(-Assumptions!$C$11*Assumptions!$C$10)*NORMSDIST((LN(2450/Assumptions!$C$7)+(Assumptions!$C$9-Assumptions!$C$11+0.25^2/2)*Assumptions!$C$10)/(0.25*SQRT(Assumptions!$C$10)))-Assumptions!$C$7*EXP(-Assumptions!$C$9*Assumptions!$C$10)*NORMSDIST(((LN(2450/Assumptions!$C$7)+(Assumptions!$C$9-Assumptions!$C$11+0.25^2/2)*Assumptions!$C$10)/(0.25*SQRT(Assumptions!$C$10)))-0.25*SQRT(Assumptions!$C$10))</f>
        <v>114.438159506219</v>
      </c>
      <c r="G21" s="81" t="n">
        <f aca="false">2450*EXP(-Assumptions!$C$11*Assumptions!$C$10)*NORMSDIST((LN(2450/Assumptions!$C$7)+(Assumptions!$C$9-Assumptions!$C$11+0.3^2/2)*Assumptions!$C$10)/(0.3*SQRT(Assumptions!$C$10)))-Assumptions!$C$7*EXP(-Assumptions!$C$9*Assumptions!$C$10)*NORMSDIST(((LN(2450/Assumptions!$C$7)+(Assumptions!$C$9-Assumptions!$C$11+0.3^2/2)*Assumptions!$C$10)/(0.3*SQRT(Assumptions!$C$10)))-0.3*SQRT(Assumptions!$C$10))</f>
        <v>138.80617800811</v>
      </c>
      <c r="H21" s="81" t="n">
        <f aca="false">2450*EXP(-Assumptions!$C$11*Assumptions!$C$10)*NORMSDIST((LN(2450/Assumptions!$C$7)+(Assumptions!$C$9-Assumptions!$C$11+0.35^2/2)*Assumptions!$C$10)/(0.35*SQRT(Assumptions!$C$10)))-Assumptions!$C$7*EXP(-Assumptions!$C$9*Assumptions!$C$10)*NORMSDIST(((LN(2450/Assumptions!$C$7)+(Assumptions!$C$9-Assumptions!$C$11+0.35^2/2)*Assumptions!$C$10)/(0.35*SQRT(Assumptions!$C$10)))-0.35*SQRT(Assumptions!$C$10))</f>
        <v>163.159087022738</v>
      </c>
      <c r="I21" s="81" t="n">
        <f aca="false">2450*EXP(-Assumptions!$C$11*Assumptions!$C$10)*NORMSDIST((LN(2450/Assumptions!$C$7)+(Assumptions!$C$9-Assumptions!$C$11+0.4^2/2)*Assumptions!$C$10)/(0.4*SQRT(Assumptions!$C$10)))-Assumptions!$C$7*EXP(-Assumptions!$C$9*Assumptions!$C$10)*NORMSDIST(((LN(2450/Assumptions!$C$7)+(Assumptions!$C$9-Assumptions!$C$11+0.4^2/2)*Assumptions!$C$10)/(0.4*SQRT(Assumptions!$C$10)))-0.4*SQRT(Assumptions!$C$10))</f>
        <v>187.490198777406</v>
      </c>
      <c r="J21" s="81" t="n">
        <f aca="false">2450*EXP(-Assumptions!$C$11*Assumptions!$C$10)*NORMSDIST((LN(2450/Assumptions!$C$7)+(Assumptions!$C$9-Assumptions!$C$11+0.45^2/2)*Assumptions!$C$10)/(0.45*SQRT(Assumptions!$C$10)))-Assumptions!$C$7*EXP(-Assumptions!$C$9*Assumptions!$C$10)*NORMSDIST(((LN(2450/Assumptions!$C$7)+(Assumptions!$C$9-Assumptions!$C$11+0.45^2/2)*Assumptions!$C$10)/(0.45*SQRT(Assumptions!$C$10)))-0.45*SQRT(Assumptions!$C$10))</f>
        <v>211.79412844633</v>
      </c>
      <c r="K21" s="81" t="n">
        <f aca="false">2450*EXP(-Assumptions!$C$11*Assumptions!$C$10)*NORMSDIST((LN(2450/Assumptions!$C$7)+(Assumptions!$C$9-Assumptions!$C$11+0.5^2/2)*Assumptions!$C$10)/(0.5*SQRT(Assumptions!$C$10)))-Assumptions!$C$7*EXP(-Assumptions!$C$9*Assumptions!$C$10)*NORMSDIST(((LN(2450/Assumptions!$C$7)+(Assumptions!$C$9-Assumptions!$C$11+0.5^2/2)*Assumptions!$C$10)/(0.5*SQRT(Assumptions!$C$10)))-0.5*SQRT(Assumptions!$C$10))</f>
        <v>236.066150959609</v>
      </c>
    </row>
    <row r="22" customFormat="false" ht="15.75" hidden="false" customHeight="true" outlineLevel="0" collapsed="false">
      <c r="B22" s="84" t="n">
        <v>2500</v>
      </c>
      <c r="C22" s="85" t="n">
        <f aca="false">2500*EXP(-Assumptions!$C$11*Assumptions!$C$10)*NORMSDIST((LN(2500/Assumptions!$C$7)+(Assumptions!$C$9-Assumptions!$C$11+0.1^2/2)*Assumptions!$C$10)/(0.1*SQRT(Assumptions!$C$10)))-Assumptions!$C$7*EXP(-Assumptions!$C$9*Assumptions!$C$10)*NORMSDIST(((LN(2500/Assumptions!$C$7)+(Assumptions!$C$9-Assumptions!$C$11+0.1^2/2)*Assumptions!$C$10)/(0.1*SQRT(Assumptions!$C$10)))-0.1*SQRT(Assumptions!$C$10))</f>
        <v>68.2815090148361</v>
      </c>
      <c r="D22" s="85" t="n">
        <f aca="false">2500*EXP(-Assumptions!$C$11*Assumptions!$C$10)*NORMSDIST((LN(2500/Assumptions!$C$7)+(Assumptions!$C$9-Assumptions!$C$11+0.15^2/2)*Assumptions!$C$10)/(0.15*SQRT(Assumptions!$C$10)))-Assumptions!$C$7*EXP(-Assumptions!$C$9*Assumptions!$C$10)*NORMSDIST(((LN(2500/Assumptions!$C$7)+(Assumptions!$C$9-Assumptions!$C$11+0.15^2/2)*Assumptions!$C$10)/(0.15*SQRT(Assumptions!$C$10)))-0.15*SQRT(Assumptions!$C$10))</f>
        <v>92.356338757244</v>
      </c>
      <c r="E22" s="85" t="n">
        <f aca="false">2500*EXP(-Assumptions!$C$11*Assumptions!$C$10)*NORMSDIST((LN(2500/Assumptions!$C$7)+(Assumptions!$C$9-Assumptions!$C$11+0.2^2/2)*Assumptions!$C$10)/(0.2*SQRT(Assumptions!$C$10)))-Assumptions!$C$7*EXP(-Assumptions!$C$9*Assumptions!$C$10)*NORMSDIST(((LN(2500/Assumptions!$C$7)+(Assumptions!$C$9-Assumptions!$C$11+0.2^2/2)*Assumptions!$C$10)/(0.2*SQRT(Assumptions!$C$10)))-0.2*SQRT(Assumptions!$C$10))</f>
        <v>116.7247386235</v>
      </c>
      <c r="F22" s="85" t="n">
        <f aca="false">2500*EXP(-Assumptions!$C$11*Assumptions!$C$10)*NORMSDIST((LN(2500/Assumptions!$C$7)+(Assumptions!$C$9-Assumptions!$C$11+0.25^2/2)*Assumptions!$C$10)/(0.25*SQRT(Assumptions!$C$10)))-Assumptions!$C$7*EXP(-Assumptions!$C$9*Assumptions!$C$10)*NORMSDIST(((LN(2500/Assumptions!$C$7)+(Assumptions!$C$9-Assumptions!$C$11+0.25^2/2)*Assumptions!$C$10)/(0.25*SQRT(Assumptions!$C$10)))-0.25*SQRT(Assumptions!$C$10))</f>
        <v>141.200964697552</v>
      </c>
      <c r="G22" s="85" t="n">
        <f aca="false">2500*EXP(-Assumptions!$C$11*Assumptions!$C$10)*NORMSDIST((LN(2500/Assumptions!$C$7)+(Assumptions!$C$9-Assumptions!$C$11+0.3^2/2)*Assumptions!$C$10)/(0.3*SQRT(Assumptions!$C$10)))-Assumptions!$C$7*EXP(-Assumptions!$C$9*Assumptions!$C$10)*NORMSDIST(((LN(2500/Assumptions!$C$7)+(Assumptions!$C$9-Assumptions!$C$11+0.3^2/2)*Assumptions!$C$10)/(0.3*SQRT(Assumptions!$C$10)))-0.3*SQRT(Assumptions!$C$10))</f>
        <v>165.719799898783</v>
      </c>
      <c r="H22" s="85" t="n">
        <f aca="false">2500*EXP(-Assumptions!$C$11*Assumptions!$C$10)*NORMSDIST((LN(2500/Assumptions!$C$7)+(Assumptions!$C$9-Assumptions!$C$11+0.35^2/2)*Assumptions!$C$10)/(0.35*SQRT(Assumptions!$C$10)))-Assumptions!$C$7*EXP(-Assumptions!$C$9*Assumptions!$C$10)*NORMSDIST(((LN(2500/Assumptions!$C$7)+(Assumptions!$C$9-Assumptions!$C$11+0.35^2/2)*Assumptions!$C$10)/(0.35*SQRT(Assumptions!$C$10)))-0.35*SQRT(Assumptions!$C$10))</f>
        <v>190.250969610331</v>
      </c>
      <c r="I22" s="85" t="n">
        <f aca="false">2500*EXP(-Assumptions!$C$11*Assumptions!$C$10)*NORMSDIST((LN(2500/Assumptions!$C$7)+(Assumptions!$C$9-Assumptions!$C$11+0.4^2/2)*Assumptions!$C$10)/(0.4*SQRT(Assumptions!$C$10)))-Assumptions!$C$7*EXP(-Assumptions!$C$9*Assumptions!$C$10)*NORMSDIST(((LN(2500/Assumptions!$C$7)+(Assumptions!$C$9-Assumptions!$C$11+0.4^2/2)*Assumptions!$C$10)/(0.4*SQRT(Assumptions!$C$10)))-0.4*SQRT(Assumptions!$C$10))</f>
        <v>214.7773943623</v>
      </c>
      <c r="J22" s="85" t="n">
        <f aca="false">2500*EXP(-Assumptions!$C$11*Assumptions!$C$10)*NORMSDIST((LN(2500/Assumptions!$C$7)+(Assumptions!$C$9-Assumptions!$C$11+0.45^2/2)*Assumptions!$C$10)/(0.45*SQRT(Assumptions!$C$10)))-Assumptions!$C$7*EXP(-Assumptions!$C$9*Assumptions!$C$10)*NORMSDIST(((LN(2500/Assumptions!$C$7)+(Assumptions!$C$9-Assumptions!$C$11+0.45^2/2)*Assumptions!$C$10)/(0.45*SQRT(Assumptions!$C$10)))-0.45*SQRT(Assumptions!$C$10))</f>
        <v>239.287887481725</v>
      </c>
      <c r="K22" s="85" t="n">
        <f aca="false">2500*EXP(-Assumptions!$C$11*Assumptions!$C$10)*NORMSDIST((LN(2500/Assumptions!$C$7)+(Assumptions!$C$9-Assumptions!$C$11+0.5^2/2)*Assumptions!$C$10)/(0.5*SQRT(Assumptions!$C$10)))-Assumptions!$C$7*EXP(-Assumptions!$C$9*Assumptions!$C$10)*NORMSDIST(((LN(2500/Assumptions!$C$7)+(Assumptions!$C$9-Assumptions!$C$11+0.5^2/2)*Assumptions!$C$10)/(0.5*SQRT(Assumptions!$C$10)))-0.5*SQRT(Assumptions!$C$10))</f>
        <v>263.774223039015</v>
      </c>
    </row>
    <row r="23" customFormat="false" ht="15.75" hidden="false" customHeight="true" outlineLevel="0" collapsed="false">
      <c r="B23" s="80" t="n">
        <v>2550</v>
      </c>
      <c r="C23" s="81" t="n">
        <f aca="false">2550*EXP(-Assumptions!$C$11*Assumptions!$C$10)*NORMSDIST((LN(2550/Assumptions!$C$7)+(Assumptions!$C$9-Assumptions!$C$11+0.1^2/2)*Assumptions!$C$10)/(0.1*SQRT(Assumptions!$C$10)))-Assumptions!$C$7*EXP(-Assumptions!$C$9*Assumptions!$C$10)*NORMSDIST(((LN(2550/Assumptions!$C$7)+(Assumptions!$C$9-Assumptions!$C$11+0.1^2/2)*Assumptions!$C$10)/(0.1*SQRT(Assumptions!$C$10)))-0.1*SQRT(Assumptions!$C$10))</f>
        <v>102.688181942254</v>
      </c>
      <c r="D23" s="81" t="n">
        <f aca="false">2550*EXP(-Assumptions!$C$11*Assumptions!$C$10)*NORMSDIST((LN(2550/Assumptions!$C$7)+(Assumptions!$C$9-Assumptions!$C$11+0.15^2/2)*Assumptions!$C$10)/(0.15*SQRT(Assumptions!$C$10)))-Assumptions!$C$7*EXP(-Assumptions!$C$9*Assumptions!$C$10)*NORMSDIST(((LN(2550/Assumptions!$C$7)+(Assumptions!$C$9-Assumptions!$C$11+0.15^2/2)*Assumptions!$C$10)/(0.15*SQRT(Assumptions!$C$10)))-0.15*SQRT(Assumptions!$C$10))</f>
        <v>124.16071295956</v>
      </c>
      <c r="E23" s="81" t="n">
        <f aca="false">2550*EXP(-Assumptions!$C$11*Assumptions!$C$10)*NORMSDIST((LN(2550/Assumptions!$C$7)+(Assumptions!$C$9-Assumptions!$C$11+0.2^2/2)*Assumptions!$C$10)/(0.2*SQRT(Assumptions!$C$10)))-Assumptions!$C$7*EXP(-Assumptions!$C$9*Assumptions!$C$10)*NORMSDIST(((LN(2550/Assumptions!$C$7)+(Assumptions!$C$9-Assumptions!$C$11+0.2^2/2)*Assumptions!$C$10)/(0.2*SQRT(Assumptions!$C$10)))-0.2*SQRT(Assumptions!$C$10))</f>
        <v>147.28341876227</v>
      </c>
      <c r="F23" s="81" t="n">
        <f aca="false">2550*EXP(-Assumptions!$C$11*Assumptions!$C$10)*NORMSDIST((LN(2550/Assumptions!$C$7)+(Assumptions!$C$9-Assumptions!$C$11+0.25^2/2)*Assumptions!$C$10)/(0.25*SQRT(Assumptions!$C$10)))-Assumptions!$C$7*EXP(-Assumptions!$C$9*Assumptions!$C$10)*NORMSDIST(((LN(2550/Assumptions!$C$7)+(Assumptions!$C$9-Assumptions!$C$11+0.25^2/2)*Assumptions!$C$10)/(0.25*SQRT(Assumptions!$C$10)))-0.25*SQRT(Assumptions!$C$10))</f>
        <v>171.094483620809</v>
      </c>
      <c r="G23" s="81" t="n">
        <f aca="false">2550*EXP(-Assumptions!$C$11*Assumptions!$C$10)*NORMSDIST((LN(2550/Assumptions!$C$7)+(Assumptions!$C$9-Assumptions!$C$11+0.3^2/2)*Assumptions!$C$10)/(0.3*SQRT(Assumptions!$C$10)))-Assumptions!$C$7*EXP(-Assumptions!$C$9*Assumptions!$C$10)*NORMSDIST(((LN(2550/Assumptions!$C$7)+(Assumptions!$C$9-Assumptions!$C$11+0.3^2/2)*Assumptions!$C$10)/(0.3*SQRT(Assumptions!$C$10)))-0.3*SQRT(Assumptions!$C$10))</f>
        <v>195.246503913349</v>
      </c>
      <c r="H23" s="81" t="n">
        <f aca="false">2550*EXP(-Assumptions!$C$11*Assumptions!$C$10)*NORMSDIST((LN(2550/Assumptions!$C$7)+(Assumptions!$C$9-Assumptions!$C$11+0.35^2/2)*Assumptions!$C$10)/(0.35*SQRT(Assumptions!$C$10)))-Assumptions!$C$7*EXP(-Assumptions!$C$9*Assumptions!$C$10)*NORMSDIST(((LN(2550/Assumptions!$C$7)+(Assumptions!$C$9-Assumptions!$C$11+0.35^2/2)*Assumptions!$C$10)/(0.35*SQRT(Assumptions!$C$10)))-0.35*SQRT(Assumptions!$C$10))</f>
        <v>219.583677263694</v>
      </c>
      <c r="I23" s="81" t="n">
        <f aca="false">2550*EXP(-Assumptions!$C$11*Assumptions!$C$10)*NORMSDIST((LN(2550/Assumptions!$C$7)+(Assumptions!$C$9-Assumptions!$C$11+0.4^2/2)*Assumptions!$C$10)/(0.4*SQRT(Assumptions!$C$10)))-Assumptions!$C$7*EXP(-Assumptions!$C$9*Assumptions!$C$10)*NORMSDIST(((LN(2550/Assumptions!$C$7)+(Assumptions!$C$9-Assumptions!$C$11+0.4^2/2)*Assumptions!$C$10)/(0.4*SQRT(Assumptions!$C$10)))-0.4*SQRT(Assumptions!$C$10))</f>
        <v>244.024899664148</v>
      </c>
      <c r="J23" s="81" t="n">
        <f aca="false">2550*EXP(-Assumptions!$C$11*Assumptions!$C$10)*NORMSDIST((LN(2550/Assumptions!$C$7)+(Assumptions!$C$9-Assumptions!$C$11+0.45^2/2)*Assumptions!$C$10)/(0.45*SQRT(Assumptions!$C$10)))-Assumptions!$C$7*EXP(-Assumptions!$C$9*Assumptions!$C$10)*NORMSDIST(((LN(2550/Assumptions!$C$7)+(Assumptions!$C$9-Assumptions!$C$11+0.45^2/2)*Assumptions!$C$10)/(0.45*SQRT(Assumptions!$C$10)))-0.45*SQRT(Assumptions!$C$10))</f>
        <v>268.522979787214</v>
      </c>
      <c r="K23" s="81" t="n">
        <f aca="false">2550*EXP(-Assumptions!$C$11*Assumptions!$C$10)*NORMSDIST((LN(2550/Assumptions!$C$7)+(Assumptions!$C$9-Assumptions!$C$11+0.5^2/2)*Assumptions!$C$10)/(0.5*SQRT(Assumptions!$C$10)))-Assumptions!$C$7*EXP(-Assumptions!$C$9*Assumptions!$C$10)*NORMSDIST(((LN(2550/Assumptions!$C$7)+(Assumptions!$C$9-Assumptions!$C$11+0.5^2/2)*Assumptions!$C$10)/(0.5*SQRT(Assumptions!$C$10)))-0.5*SQRT(Assumptions!$C$10))</f>
        <v>293.047909500696</v>
      </c>
    </row>
    <row r="24" customFormat="false" ht="15.75" hidden="false" customHeight="true" outlineLevel="0" collapsed="false">
      <c r="B24" s="82" t="n">
        <v>2600</v>
      </c>
      <c r="C24" s="83" t="n">
        <f aca="false">2600*EXP(-Assumptions!$C$11*Assumptions!$C$10)*NORMSDIST((LN(2600/Assumptions!$C$7)+(Assumptions!$C$9-Assumptions!$C$11+0.1^2/2)*Assumptions!$C$10)/(0.1*SQRT(Assumptions!$C$10)))-Assumptions!$C$7*EXP(-Assumptions!$C$9*Assumptions!$C$10)*NORMSDIST(((LN(2600/Assumptions!$C$7)+(Assumptions!$C$9-Assumptions!$C$11+0.1^2/2)*Assumptions!$C$10)/(0.1*SQRT(Assumptions!$C$10)))-0.1*SQRT(Assumptions!$C$10))</f>
        <v>143.186947288923</v>
      </c>
      <c r="D24" s="83" t="n">
        <f aca="false">2600*EXP(-Assumptions!$C$11*Assumptions!$C$10)*NORMSDIST((LN(2600/Assumptions!$C$7)+(Assumptions!$C$9-Assumptions!$C$11+0.15^2/2)*Assumptions!$C$10)/(0.15*SQRT(Assumptions!$C$10)))-Assumptions!$C$7*EXP(-Assumptions!$C$9*Assumptions!$C$10)*NORMSDIST(((LN(2600/Assumptions!$C$7)+(Assumptions!$C$9-Assumptions!$C$11+0.15^2/2)*Assumptions!$C$10)/(0.15*SQRT(Assumptions!$C$10)))-0.15*SQRT(Assumptions!$C$10))</f>
        <v>160.573142354403</v>
      </c>
      <c r="E24" s="83" t="n">
        <f aca="false">2600*EXP(-Assumptions!$C$11*Assumptions!$C$10)*NORMSDIST((LN(2600/Assumptions!$C$7)+(Assumptions!$C$9-Assumptions!$C$11+0.2^2/2)*Assumptions!$C$10)/(0.2*SQRT(Assumptions!$C$10)))-Assumptions!$C$7*EXP(-Assumptions!$C$9*Assumptions!$C$10)*NORMSDIST(((LN(2600/Assumptions!$C$7)+(Assumptions!$C$9-Assumptions!$C$11+0.2^2/2)*Assumptions!$C$10)/(0.2*SQRT(Assumptions!$C$10)))-0.2*SQRT(Assumptions!$C$10))</f>
        <v>181.455813075502</v>
      </c>
      <c r="F24" s="83" t="n">
        <f aca="false">2600*EXP(-Assumptions!$C$11*Assumptions!$C$10)*NORMSDIST((LN(2600/Assumptions!$C$7)+(Assumptions!$C$9-Assumptions!$C$11+0.25^2/2)*Assumptions!$C$10)/(0.25*SQRT(Assumptions!$C$10)))-Assumptions!$C$7*EXP(-Assumptions!$C$9*Assumptions!$C$10)*NORMSDIST(((LN(2600/Assumptions!$C$7)+(Assumptions!$C$9-Assumptions!$C$11+0.25^2/2)*Assumptions!$C$10)/(0.25*SQRT(Assumptions!$C$10)))-0.25*SQRT(Assumptions!$C$10))</f>
        <v>203.93839640436</v>
      </c>
      <c r="G24" s="83" t="n">
        <f aca="false">2600*EXP(-Assumptions!$C$11*Assumptions!$C$10)*NORMSDIST((LN(2600/Assumptions!$C$7)+(Assumptions!$C$9-Assumptions!$C$11+0.3^2/2)*Assumptions!$C$10)/(0.3*SQRT(Assumptions!$C$10)))-Assumptions!$C$7*EXP(-Assumptions!$C$9*Assumptions!$C$10)*NORMSDIST(((LN(2600/Assumptions!$C$7)+(Assumptions!$C$9-Assumptions!$C$11+0.3^2/2)*Assumptions!$C$10)/(0.3*SQRT(Assumptions!$C$10)))-0.3*SQRT(Assumptions!$C$10))</f>
        <v>227.258104728531</v>
      </c>
      <c r="H24" s="83" t="n">
        <f aca="false">2600*EXP(-Assumptions!$C$11*Assumptions!$C$10)*NORMSDIST((LN(2600/Assumptions!$C$7)+(Assumptions!$C$9-Assumptions!$C$11+0.35^2/2)*Assumptions!$C$10)/(0.35*SQRT(Assumptions!$C$10)))-Assumptions!$C$7*EXP(-Assumptions!$C$9*Assumptions!$C$10)*NORMSDIST(((LN(2600/Assumptions!$C$7)+(Assumptions!$C$9-Assumptions!$C$11+0.35^2/2)*Assumptions!$C$10)/(0.35*SQRT(Assumptions!$C$10)))-0.35*SQRT(Assumptions!$C$10))</f>
        <v>251.058934046922</v>
      </c>
      <c r="I24" s="83" t="n">
        <f aca="false">2600*EXP(-Assumptions!$C$11*Assumptions!$C$10)*NORMSDIST((LN(2600/Assumptions!$C$7)+(Assumptions!$C$9-Assumptions!$C$11+0.4^2/2)*Assumptions!$C$10)/(0.4*SQRT(Assumptions!$C$10)))-Assumptions!$C$7*EXP(-Assumptions!$C$9*Assumptions!$C$10)*NORMSDIST(((LN(2600/Assumptions!$C$7)+(Assumptions!$C$9-Assumptions!$C$11+0.4^2/2)*Assumptions!$C$10)/(0.4*SQRT(Assumptions!$C$10)))-0.4*SQRT(Assumptions!$C$10))</f>
        <v>275.153393074955</v>
      </c>
      <c r="J24" s="83" t="n">
        <f aca="false">2600*EXP(-Assumptions!$C$11*Assumptions!$C$10)*NORMSDIST((LN(2600/Assumptions!$C$7)+(Assumptions!$C$9-Assumptions!$C$11+0.45^2/2)*Assumptions!$C$10)/(0.45*SQRT(Assumptions!$C$10)))-Assumptions!$C$7*EXP(-Assumptions!$C$9*Assumptions!$C$10)*NORMSDIST(((LN(2600/Assumptions!$C$7)+(Assumptions!$C$9-Assumptions!$C$11+0.45^2/2)*Assumptions!$C$10)/(0.45*SQRT(Assumptions!$C$10)))-0.45*SQRT(Assumptions!$C$10))</f>
        <v>299.433010824661</v>
      </c>
      <c r="K24" s="83" t="n">
        <f aca="false">2600*EXP(-Assumptions!$C$11*Assumptions!$C$10)*NORMSDIST((LN(2600/Assumptions!$C$7)+(Assumptions!$C$9-Assumptions!$C$11+0.5^2/2)*Assumptions!$C$10)/(0.5*SQRT(Assumptions!$C$10)))-Assumptions!$C$7*EXP(-Assumptions!$C$9*Assumptions!$C$10)*NORMSDIST(((LN(2600/Assumptions!$C$7)+(Assumptions!$C$9-Assumptions!$C$11+0.5^2/2)*Assumptions!$C$10)/(0.5*SQRT(Assumptions!$C$10)))-0.5*SQRT(Assumptions!$C$10))</f>
        <v>323.830137859819</v>
      </c>
    </row>
    <row r="25" customFormat="false" ht="15.75" hidden="false" customHeight="true" outlineLevel="0" collapsed="false">
      <c r="B25" s="80" t="n">
        <v>2650</v>
      </c>
      <c r="C25" s="81" t="n">
        <f aca="false">2650*EXP(-Assumptions!$C$11*Assumptions!$C$10)*NORMSDIST((LN(2650/Assumptions!$C$7)+(Assumptions!$C$9-Assumptions!$C$11+0.1^2/2)*Assumptions!$C$10)/(0.1*SQRT(Assumptions!$C$10)))-Assumptions!$C$7*EXP(-Assumptions!$C$9*Assumptions!$C$10)*NORMSDIST(((LN(2650/Assumptions!$C$7)+(Assumptions!$C$9-Assumptions!$C$11+0.1^2/2)*Assumptions!$C$10)/(0.1*SQRT(Assumptions!$C$10)))-0.1*SQRT(Assumptions!$C$10))</f>
        <v>187.953545236514</v>
      </c>
      <c r="D25" s="81" t="n">
        <f aca="false">2650*EXP(-Assumptions!$C$11*Assumptions!$C$10)*NORMSDIST((LN(2650/Assumptions!$C$7)+(Assumptions!$C$9-Assumptions!$C$11+0.15^2/2)*Assumptions!$C$10)/(0.15*SQRT(Assumptions!$C$10)))-Assumptions!$C$7*EXP(-Assumptions!$C$9*Assumptions!$C$10)*NORMSDIST(((LN(2650/Assumptions!$C$7)+(Assumptions!$C$9-Assumptions!$C$11+0.15^2/2)*Assumptions!$C$10)/(0.15*SQRT(Assumptions!$C$10)))-0.15*SQRT(Assumptions!$C$10))</f>
        <v>200.848860091889</v>
      </c>
      <c r="E25" s="81" t="n">
        <f aca="false">2650*EXP(-Assumptions!$C$11*Assumptions!$C$10)*NORMSDIST((LN(2650/Assumptions!$C$7)+(Assumptions!$C$9-Assumptions!$C$11+0.2^2/2)*Assumptions!$C$10)/(0.2*SQRT(Assumptions!$C$10)))-Assumptions!$C$7*EXP(-Assumptions!$C$9*Assumptions!$C$10)*NORMSDIST(((LN(2650/Assumptions!$C$7)+(Assumptions!$C$9-Assumptions!$C$11+0.2^2/2)*Assumptions!$C$10)/(0.2*SQRT(Assumptions!$C$10)))-0.2*SQRT(Assumptions!$C$10))</f>
        <v>218.858083001921</v>
      </c>
      <c r="F25" s="81" t="n">
        <f aca="false">2650*EXP(-Assumptions!$C$11*Assumptions!$C$10)*NORMSDIST((LN(2650/Assumptions!$C$7)+(Assumptions!$C$9-Assumptions!$C$11+0.25^2/2)*Assumptions!$C$10)/(0.25*SQRT(Assumptions!$C$10)))-Assumptions!$C$7*EXP(-Assumptions!$C$9*Assumptions!$C$10)*NORMSDIST(((LN(2650/Assumptions!$C$7)+(Assumptions!$C$9-Assumptions!$C$11+0.25^2/2)*Assumptions!$C$10)/(0.25*SQRT(Assumptions!$C$10)))-0.25*SQRT(Assumptions!$C$10))</f>
        <v>239.499148555344</v>
      </c>
      <c r="G25" s="81" t="n">
        <f aca="false">2650*EXP(-Assumptions!$C$11*Assumptions!$C$10)*NORMSDIST((LN(2650/Assumptions!$C$7)+(Assumptions!$C$9-Assumptions!$C$11+0.3^2/2)*Assumptions!$C$10)/(0.3*SQRT(Assumptions!$C$10)))-Assumptions!$C$7*EXP(-Assumptions!$C$9*Assumptions!$C$10)*NORMSDIST(((LN(2650/Assumptions!$C$7)+(Assumptions!$C$9-Assumptions!$C$11+0.3^2/2)*Assumptions!$C$10)/(0.3*SQRT(Assumptions!$C$10)))-0.3*SQRT(Assumptions!$C$10))</f>
        <v>261.595393469997</v>
      </c>
      <c r="H25" s="81" t="n">
        <f aca="false">2650*EXP(-Assumptions!$C$11*Assumptions!$C$10)*NORMSDIST((LN(2650/Assumptions!$C$7)+(Assumptions!$C$9-Assumptions!$C$11+0.35^2/2)*Assumptions!$C$10)/(0.35*SQRT(Assumptions!$C$10)))-Assumptions!$C$7*EXP(-Assumptions!$C$9*Assumptions!$C$10)*NORMSDIST(((LN(2650/Assumptions!$C$7)+(Assumptions!$C$9-Assumptions!$C$11+0.35^2/2)*Assumptions!$C$10)/(0.35*SQRT(Assumptions!$C$10)))-0.35*SQRT(Assumptions!$C$10))</f>
        <v>284.559252744099</v>
      </c>
      <c r="I25" s="81" t="n">
        <f aca="false">2650*EXP(-Assumptions!$C$11*Assumptions!$C$10)*NORMSDIST((LN(2650/Assumptions!$C$7)+(Assumptions!$C$9-Assumptions!$C$11+0.4^2/2)*Assumptions!$C$10)/(0.4*SQRT(Assumptions!$C$10)))-Assumptions!$C$7*EXP(-Assumptions!$C$9*Assumptions!$C$10)*NORMSDIST(((LN(2650/Assumptions!$C$7)+(Assumptions!$C$9-Assumptions!$C$11+0.4^2/2)*Assumptions!$C$10)/(0.4*SQRT(Assumptions!$C$10)))-0.4*SQRT(Assumptions!$C$10))</f>
        <v>308.071109927937</v>
      </c>
      <c r="J25" s="81" t="n">
        <f aca="false">2650*EXP(-Assumptions!$C$11*Assumptions!$C$10)*NORMSDIST((LN(2650/Assumptions!$C$7)+(Assumptions!$C$9-Assumptions!$C$11+0.45^2/2)*Assumptions!$C$10)/(0.45*SQRT(Assumptions!$C$10)))-Assumptions!$C$7*EXP(-Assumptions!$C$9*Assumptions!$C$10)*NORMSDIST(((LN(2650/Assumptions!$C$7)+(Assumptions!$C$9-Assumptions!$C$11+0.45^2/2)*Assumptions!$C$10)/(0.45*SQRT(Assumptions!$C$10)))-0.45*SQRT(Assumptions!$C$10))</f>
        <v>331.943258285586</v>
      </c>
      <c r="K25" s="81" t="n">
        <f aca="false">2650*EXP(-Assumptions!$C$11*Assumptions!$C$10)*NORMSDIST((LN(2650/Assumptions!$C$7)+(Assumptions!$C$9-Assumptions!$C$11+0.5^2/2)*Assumptions!$C$10)/(0.5*SQRT(Assumptions!$C$10)))-Assumptions!$C$7*EXP(-Assumptions!$C$9*Assumptions!$C$10)*NORMSDIST(((LN(2650/Assumptions!$C$7)+(Assumptions!$C$9-Assumptions!$C$11+0.5^2/2)*Assumptions!$C$10)/(0.5*SQRT(Assumptions!$C$10)))-0.5*SQRT(Assumptions!$C$10))</f>
        <v>356.058131778997</v>
      </c>
    </row>
    <row r="26" customFormat="false" ht="15.75" hidden="false" customHeight="true" outlineLevel="0" collapsed="false">
      <c r="B26" s="82" t="n">
        <v>2700</v>
      </c>
      <c r="C26" s="83" t="n">
        <f aca="false">2700*EXP(-Assumptions!$C$11*Assumptions!$C$10)*NORMSDIST((LN(2700/Assumptions!$C$7)+(Assumptions!$C$9-Assumptions!$C$11+0.1^2/2)*Assumptions!$C$10)/(0.1*SQRT(Assumptions!$C$10)))-Assumptions!$C$7*EXP(-Assumptions!$C$9*Assumptions!$C$10)*NORMSDIST(((LN(2700/Assumptions!$C$7)+(Assumptions!$C$9-Assumptions!$C$11+0.1^2/2)*Assumptions!$C$10)/(0.1*SQRT(Assumptions!$C$10)))-0.1*SQRT(Assumptions!$C$10))</f>
        <v>235.327120263308</v>
      </c>
      <c r="D26" s="83" t="n">
        <f aca="false">2700*EXP(-Assumptions!$C$11*Assumptions!$C$10)*NORMSDIST((LN(2700/Assumptions!$C$7)+(Assumptions!$C$9-Assumptions!$C$11+0.15^2/2)*Assumptions!$C$10)/(0.15*SQRT(Assumptions!$C$10)))-Assumptions!$C$7*EXP(-Assumptions!$C$9*Assumptions!$C$10)*NORMSDIST(((LN(2700/Assumptions!$C$7)+(Assumptions!$C$9-Assumptions!$C$11+0.15^2/2)*Assumptions!$C$10)/(0.15*SQRT(Assumptions!$C$10)))-0.15*SQRT(Assumptions!$C$10))</f>
        <v>244.171054741772</v>
      </c>
      <c r="E26" s="83" t="n">
        <f aca="false">2700*EXP(-Assumptions!$C$11*Assumptions!$C$10)*NORMSDIST((LN(2700/Assumptions!$C$7)+(Assumptions!$C$9-Assumptions!$C$11+0.2^2/2)*Assumptions!$C$10)/(0.2*SQRT(Assumptions!$C$10)))-Assumptions!$C$7*EXP(-Assumptions!$C$9*Assumptions!$C$10)*NORMSDIST(((LN(2700/Assumptions!$C$7)+(Assumptions!$C$9-Assumptions!$C$11+0.2^2/2)*Assumptions!$C$10)/(0.2*SQRT(Assumptions!$C$10)))-0.2*SQRT(Assumptions!$C$10))</f>
        <v>259.049713267585</v>
      </c>
      <c r="F26" s="83" t="n">
        <f aca="false">2700*EXP(-Assumptions!$C$11*Assumptions!$C$10)*NORMSDIST((LN(2700/Assumptions!$C$7)+(Assumptions!$C$9-Assumptions!$C$11+0.25^2/2)*Assumptions!$C$10)/(0.25*SQRT(Assumptions!$C$10)))-Assumptions!$C$7*EXP(-Assumptions!$C$9*Assumptions!$C$10)*NORMSDIST(((LN(2700/Assumptions!$C$7)+(Assumptions!$C$9-Assumptions!$C$11+0.25^2/2)*Assumptions!$C$10)/(0.25*SQRT(Assumptions!$C$10)))-0.25*SQRT(Assumptions!$C$10))</f>
        <v>277.507686106355</v>
      </c>
      <c r="G26" s="83" t="n">
        <f aca="false">2700*EXP(-Assumptions!$C$11*Assumptions!$C$10)*NORMSDIST((LN(2700/Assumptions!$C$7)+(Assumptions!$C$9-Assumptions!$C$11+0.3^2/2)*Assumptions!$C$10)/(0.3*SQRT(Assumptions!$C$10)))-Assumptions!$C$7*EXP(-Assumptions!$C$9*Assumptions!$C$10)*NORMSDIST(((LN(2700/Assumptions!$C$7)+(Assumptions!$C$9-Assumptions!$C$11+0.3^2/2)*Assumptions!$C$10)/(0.3*SQRT(Assumptions!$C$10)))-0.3*SQRT(Assumptions!$C$10))</f>
        <v>298.07696569675</v>
      </c>
      <c r="H26" s="83" t="n">
        <f aca="false">2700*EXP(-Assumptions!$C$11*Assumptions!$C$10)*NORMSDIST((LN(2700/Assumptions!$C$7)+(Assumptions!$C$9-Assumptions!$C$11+0.35^2/2)*Assumptions!$C$10)/(0.35*SQRT(Assumptions!$C$10)))-Assumptions!$C$7*EXP(-Assumptions!$C$9*Assumptions!$C$10)*NORMSDIST(((LN(2700/Assumptions!$C$7)+(Assumptions!$C$9-Assumptions!$C$11+0.35^2/2)*Assumptions!$C$10)/(0.35*SQRT(Assumptions!$C$10)))-0.35*SQRT(Assumptions!$C$10))</f>
        <v>319.952884275984</v>
      </c>
      <c r="I26" s="83" t="n">
        <f aca="false">2700*EXP(-Assumptions!$C$11*Assumptions!$C$10)*NORMSDIST((LN(2700/Assumptions!$C$7)+(Assumptions!$C$9-Assumptions!$C$11+0.4^2/2)*Assumptions!$C$10)/(0.4*SQRT(Assumptions!$C$10)))-Assumptions!$C$7*EXP(-Assumptions!$C$9*Assumptions!$C$10)*NORMSDIST(((LN(2700/Assumptions!$C$7)+(Assumptions!$C$9-Assumptions!$C$11+0.4^2/2)*Assumptions!$C$10)/(0.4*SQRT(Assumptions!$C$10)))-0.4*SQRT(Assumptions!$C$10))</f>
        <v>342.676863198701</v>
      </c>
      <c r="J26" s="83" t="n">
        <f aca="false">2700*EXP(-Assumptions!$C$11*Assumptions!$C$10)*NORMSDIST((LN(2700/Assumptions!$C$7)+(Assumptions!$C$9-Assumptions!$C$11+0.45^2/2)*Assumptions!$C$10)/(0.45*SQRT(Assumptions!$C$10)))-Assumptions!$C$7*EXP(-Assumptions!$C$9*Assumptions!$C$10)*NORMSDIST(((LN(2700/Assumptions!$C$7)+(Assumptions!$C$9-Assumptions!$C$11+0.45^2/2)*Assumptions!$C$10)/(0.45*SQRT(Assumptions!$C$10)))-0.45*SQRT(Assumptions!$C$10))</f>
        <v>365.972634160677</v>
      </c>
      <c r="K26" s="83" t="n">
        <f aca="false">2700*EXP(-Assumptions!$C$11*Assumptions!$C$10)*NORMSDIST((LN(2700/Assumptions!$C$7)+(Assumptions!$C$9-Assumptions!$C$11+0.5^2/2)*Assumptions!$C$10)/(0.5*SQRT(Assumptions!$C$10)))-Assumptions!$C$7*EXP(-Assumptions!$C$9*Assumptions!$C$10)*NORMSDIST(((LN(2700/Assumptions!$C$7)+(Assumptions!$C$9-Assumptions!$C$11+0.5^2/2)*Assumptions!$C$10)/(0.5*SQRT(Assumptions!$C$10)))-0.5*SQRT(Assumptions!$C$10))</f>
        <v>389.664746623741</v>
      </c>
    </row>
    <row r="27" customFormat="false" ht="15.75" hidden="false" customHeight="true" outlineLevel="0" collapsed="false">
      <c r="B27" s="80" t="n">
        <v>2750</v>
      </c>
      <c r="C27" s="81" t="n">
        <f aca="false">2750*EXP(-Assumptions!$C$11*Assumptions!$C$10)*NORMSDIST((LN(2750/Assumptions!$C$7)+(Assumptions!$C$9-Assumptions!$C$11+0.1^2/2)*Assumptions!$C$10)/(0.1*SQRT(Assumptions!$C$10)))-Assumptions!$C$7*EXP(-Assumptions!$C$9*Assumptions!$C$10)*NORMSDIST(((LN(2750/Assumptions!$C$7)+(Assumptions!$C$9-Assumptions!$C$11+0.1^2/2)*Assumptions!$C$10)/(0.1*SQRT(Assumptions!$C$10)))-0.1*SQRT(Assumptions!$C$10))</f>
        <v>284.099601423678</v>
      </c>
      <c r="D27" s="81" t="n">
        <f aca="false">2750*EXP(-Assumptions!$C$11*Assumptions!$C$10)*NORMSDIST((LN(2750/Assumptions!$C$7)+(Assumptions!$C$9-Assumptions!$C$11+0.15^2/2)*Assumptions!$C$10)/(0.15*SQRT(Assumptions!$C$10)))-Assumptions!$C$7*EXP(-Assumptions!$C$9*Assumptions!$C$10)*NORMSDIST(((LN(2750/Assumptions!$C$7)+(Assumptions!$C$9-Assumptions!$C$11+0.15^2/2)*Assumptions!$C$10)/(0.15*SQRT(Assumptions!$C$10)))-0.15*SQRT(Assumptions!$C$10))</f>
        <v>289.760635666122</v>
      </c>
      <c r="E27" s="81" t="n">
        <f aca="false">2750*EXP(-Assumptions!$C$11*Assumptions!$C$10)*NORMSDIST((LN(2750/Assumptions!$C$7)+(Assumptions!$C$9-Assumptions!$C$11+0.2^2/2)*Assumptions!$C$10)/(0.2*SQRT(Assumptions!$C$10)))-Assumptions!$C$7*EXP(-Assumptions!$C$9*Assumptions!$C$10)*NORMSDIST(((LN(2750/Assumptions!$C$7)+(Assumptions!$C$9-Assumptions!$C$11+0.2^2/2)*Assumptions!$C$10)/(0.2*SQRT(Assumptions!$C$10)))-0.2*SQRT(Assumptions!$C$10))</f>
        <v>301.573471590219</v>
      </c>
      <c r="F27" s="81" t="n">
        <f aca="false">2750*EXP(-Assumptions!$C$11*Assumptions!$C$10)*NORMSDIST((LN(2750/Assumptions!$C$7)+(Assumptions!$C$9-Assumptions!$C$11+0.25^2/2)*Assumptions!$C$10)/(0.25*SQRT(Assumptions!$C$10)))-Assumptions!$C$7*EXP(-Assumptions!$C$9*Assumptions!$C$10)*NORMSDIST(((LN(2750/Assumptions!$C$7)+(Assumptions!$C$9-Assumptions!$C$11+0.25^2/2)*Assumptions!$C$10)/(0.25*SQRT(Assumptions!$C$10)))-0.25*SQRT(Assumptions!$C$10))</f>
        <v>317.676687194015</v>
      </c>
      <c r="G27" s="81" t="n">
        <f aca="false">2750*EXP(-Assumptions!$C$11*Assumptions!$C$10)*NORMSDIST((LN(2750/Assumptions!$C$7)+(Assumptions!$C$9-Assumptions!$C$11+0.3^2/2)*Assumptions!$C$10)/(0.3*SQRT(Assumptions!$C$10)))-Assumptions!$C$7*EXP(-Assumptions!$C$9*Assumptions!$C$10)*NORMSDIST(((LN(2750/Assumptions!$C$7)+(Assumptions!$C$9-Assumptions!$C$11+0.3^2/2)*Assumptions!$C$10)/(0.3*SQRT(Assumptions!$C$10)))-0.3*SQRT(Assumptions!$C$10))</f>
        <v>336.507813463244</v>
      </c>
      <c r="H27" s="81" t="n">
        <f aca="false">2750*EXP(-Assumptions!$C$11*Assumptions!$C$10)*NORMSDIST((LN(2750/Assumptions!$C$7)+(Assumptions!$C$9-Assumptions!$C$11+0.35^2/2)*Assumptions!$C$10)/(0.35*SQRT(Assumptions!$C$10)))-Assumptions!$C$7*EXP(-Assumptions!$C$9*Assumptions!$C$10)*NORMSDIST(((LN(2750/Assumptions!$C$7)+(Assumptions!$C$9-Assumptions!$C$11+0.35^2/2)*Assumptions!$C$10)/(0.35*SQRT(Assumptions!$C$10)))-0.35*SQRT(Assumptions!$C$10))</f>
        <v>357.098599608539</v>
      </c>
      <c r="I27" s="81" t="n">
        <f aca="false">2750*EXP(-Assumptions!$C$11*Assumptions!$C$10)*NORMSDIST((LN(2750/Assumptions!$C$7)+(Assumptions!$C$9-Assumptions!$C$11+0.4^2/2)*Assumptions!$C$10)/(0.4*SQRT(Assumptions!$C$10)))-Assumptions!$C$7*EXP(-Assumptions!$C$9*Assumptions!$C$10)*NORMSDIST(((LN(2750/Assumptions!$C$7)+(Assumptions!$C$9-Assumptions!$C$11+0.4^2/2)*Assumptions!$C$10)/(0.4*SQRT(Assumptions!$C$10)))-0.4*SQRT(Assumptions!$C$10))</f>
        <v>378.862932838961</v>
      </c>
      <c r="J27" s="81" t="n">
        <f aca="false">2750*EXP(-Assumptions!$C$11*Assumptions!$C$10)*NORMSDIST((LN(2750/Assumptions!$C$7)+(Assumptions!$C$9-Assumptions!$C$11+0.45^2/2)*Assumptions!$C$10)/(0.45*SQRT(Assumptions!$C$10)))-Assumptions!$C$7*EXP(-Assumptions!$C$9*Assumptions!$C$10)*NORMSDIST(((LN(2750/Assumptions!$C$7)+(Assumptions!$C$9-Assumptions!$C$11+0.45^2/2)*Assumptions!$C$10)/(0.45*SQRT(Assumptions!$C$10)))-0.45*SQRT(Assumptions!$C$10))</f>
        <v>401.435542259601</v>
      </c>
      <c r="K27" s="81" t="n">
        <f aca="false">2750*EXP(-Assumptions!$C$11*Assumptions!$C$10)*NORMSDIST((LN(2750/Assumptions!$C$7)+(Assumptions!$C$9-Assumptions!$C$11+0.5^2/2)*Assumptions!$C$10)/(0.5*SQRT(Assumptions!$C$10)))-Assumptions!$C$7*EXP(-Assumptions!$C$9*Assumptions!$C$10)*NORMSDIST(((LN(2750/Assumptions!$C$7)+(Assumptions!$C$9-Assumptions!$C$11+0.5^2/2)*Assumptions!$C$10)/(0.5*SQRT(Assumptions!$C$10)))-0.5*SQRT(Assumptions!$C$10))</f>
        <v>424.579721669902</v>
      </c>
    </row>
    <row r="28" customFormat="false" ht="15.75" hidden="false" customHeight="true" outlineLevel="0" collapsed="false">
      <c r="B28" s="82" t="n">
        <v>2800</v>
      </c>
      <c r="C28" s="83" t="n">
        <f aca="false">2800*EXP(-Assumptions!$C$11*Assumptions!$C$10)*NORMSDIST((LN(2800/Assumptions!$C$7)+(Assumptions!$C$9-Assumptions!$C$11+0.1^2/2)*Assumptions!$C$10)/(0.1*SQRT(Assumptions!$C$10)))-Assumptions!$C$7*EXP(-Assumptions!$C$9*Assumptions!$C$10)*NORMSDIST(((LN(2800/Assumptions!$C$7)+(Assumptions!$C$9-Assumptions!$C$11+0.1^2/2)*Assumptions!$C$10)/(0.1*SQRT(Assumptions!$C$10)))-0.1*SQRT(Assumptions!$C$10))</f>
        <v>333.536118911946</v>
      </c>
      <c r="D28" s="83" t="n">
        <f aca="false">2800*EXP(-Assumptions!$C$11*Assumptions!$C$10)*NORMSDIST((LN(2800/Assumptions!$C$7)+(Assumptions!$C$9-Assumptions!$C$11+0.15^2/2)*Assumptions!$C$10)/(0.15*SQRT(Assumptions!$C$10)))-Assumptions!$C$7*EXP(-Assumptions!$C$9*Assumptions!$C$10)*NORMSDIST(((LN(2800/Assumptions!$C$7)+(Assumptions!$C$9-Assumptions!$C$11+0.15^2/2)*Assumptions!$C$10)/(0.15*SQRT(Assumptions!$C$10)))-0.15*SQRT(Assumptions!$C$10))</f>
        <v>336.948038659742</v>
      </c>
      <c r="E28" s="83" t="n">
        <f aca="false">2800*EXP(-Assumptions!$C$11*Assumptions!$C$10)*NORMSDIST((LN(2800/Assumptions!$C$7)+(Assumptions!$C$9-Assumptions!$C$11+0.2^2/2)*Assumptions!$C$10)/(0.2*SQRT(Assumptions!$C$10)))-Assumptions!$C$7*EXP(-Assumptions!$C$9*Assumptions!$C$10)*NORMSDIST(((LN(2800/Assumptions!$C$7)+(Assumptions!$C$9-Assumptions!$C$11+0.2^2/2)*Assumptions!$C$10)/(0.2*SQRT(Assumptions!$C$10)))-0.2*SQRT(Assumptions!$C$10))</f>
        <v>345.988333531341</v>
      </c>
      <c r="F28" s="83" t="n">
        <f aca="false">2800*EXP(-Assumptions!$C$11*Assumptions!$C$10)*NORMSDIST((LN(2800/Assumptions!$C$7)+(Assumptions!$C$9-Assumptions!$C$11+0.25^2/2)*Assumptions!$C$10)/(0.25*SQRT(Assumptions!$C$10)))-Assumptions!$C$7*EXP(-Assumptions!$C$9*Assumptions!$C$10)*NORMSDIST(((LN(2800/Assumptions!$C$7)+(Assumptions!$C$9-Assumptions!$C$11+0.25^2/2)*Assumptions!$C$10)/(0.25*SQRT(Assumptions!$C$10)))-0.25*SQRT(Assumptions!$C$10))</f>
        <v>359.715885991577</v>
      </c>
      <c r="G28" s="83" t="n">
        <f aca="false">2800*EXP(-Assumptions!$C$11*Assumptions!$C$10)*NORMSDIST((LN(2800/Assumptions!$C$7)+(Assumptions!$C$9-Assumptions!$C$11+0.3^2/2)*Assumptions!$C$10)/(0.3*SQRT(Assumptions!$C$10)))-Assumptions!$C$7*EXP(-Assumptions!$C$9*Assumptions!$C$10)*NORMSDIST(((LN(2800/Assumptions!$C$7)+(Assumptions!$C$9-Assumptions!$C$11+0.3^2/2)*Assumptions!$C$10)/(0.3*SQRT(Assumptions!$C$10)))-0.3*SQRT(Assumptions!$C$10))</f>
        <v>376.687187125965</v>
      </c>
      <c r="H28" s="83" t="n">
        <f aca="false">2800*EXP(-Assumptions!$C$11*Assumptions!$C$10)*NORMSDIST((LN(2800/Assumptions!$C$7)+(Assumptions!$C$9-Assumptions!$C$11+0.35^2/2)*Assumptions!$C$10)/(0.35*SQRT(Assumptions!$C$10)))-Assumptions!$C$7*EXP(-Assumptions!$C$9*Assumptions!$C$10)*NORMSDIST(((LN(2800/Assumptions!$C$7)+(Assumptions!$C$9-Assumptions!$C$11+0.35^2/2)*Assumptions!$C$10)/(0.35*SQRT(Assumptions!$C$10)))-0.35*SQRT(Assumptions!$C$10))</f>
        <v>395.850106997981</v>
      </c>
      <c r="I28" s="83" t="n">
        <f aca="false">2800*EXP(-Assumptions!$C$11*Assumptions!$C$10)*NORMSDIST((LN(2800/Assumptions!$C$7)+(Assumptions!$C$9-Assumptions!$C$11+0.4^2/2)*Assumptions!$C$10)/(0.4*SQRT(Assumptions!$C$10)))-Assumptions!$C$7*EXP(-Assumptions!$C$9*Assumptions!$C$10)*NORMSDIST(((LN(2800/Assumptions!$C$7)+(Assumptions!$C$9-Assumptions!$C$11+0.4^2/2)*Assumptions!$C$10)/(0.4*SQRT(Assumptions!$C$10)))-0.4*SQRT(Assumptions!$C$10))</f>
        <v>416.517737938555</v>
      </c>
      <c r="J28" s="83" t="n">
        <f aca="false">2800*EXP(-Assumptions!$C$11*Assumptions!$C$10)*NORMSDIST((LN(2800/Assumptions!$C$7)+(Assumptions!$C$9-Assumptions!$C$11+0.45^2/2)*Assumptions!$C$10)/(0.45*SQRT(Assumptions!$C$10)))-Assumptions!$C$7*EXP(-Assumptions!$C$9*Assumptions!$C$10)*NORMSDIST(((LN(2800/Assumptions!$C$7)+(Assumptions!$C$9-Assumptions!$C$11+0.45^2/2)*Assumptions!$C$10)/(0.45*SQRT(Assumptions!$C$10)))-0.45*SQRT(Assumptions!$C$10))</f>
        <v>438.243591728052</v>
      </c>
      <c r="K28" s="83" t="n">
        <f aca="false">2800*EXP(-Assumptions!$C$11*Assumptions!$C$10)*NORMSDIST((LN(2800/Assumptions!$C$7)+(Assumptions!$C$9-Assumptions!$C$11+0.5^2/2)*Assumptions!$C$10)/(0.5*SQRT(Assumptions!$C$10)))-Assumptions!$C$7*EXP(-Assumptions!$C$9*Assumptions!$C$10)*NORMSDIST(((LN(2800/Assumptions!$C$7)+(Assumptions!$C$9-Assumptions!$C$11+0.5^2/2)*Assumptions!$C$10)/(0.5*SQRT(Assumptions!$C$10)))-0.5*SQRT(Assumptions!$C$10))</f>
        <v>460.730830383462</v>
      </c>
    </row>
    <row r="29" customFormat="false" ht="15.75" hidden="false" customHeight="true" outlineLevel="0" collapsed="false">
      <c r="B29" s="80" t="n">
        <v>2850</v>
      </c>
      <c r="C29" s="81" t="n">
        <f aca="false">2850*EXP(-Assumptions!$C$11*Assumptions!$C$10)*NORMSDIST((LN(2850/Assumptions!$C$7)+(Assumptions!$C$9-Assumptions!$C$11+0.1^2/2)*Assumptions!$C$10)/(0.1*SQRT(Assumptions!$C$10)))-Assumptions!$C$7*EXP(-Assumptions!$C$9*Assumptions!$C$10)*NORMSDIST(((LN(2850/Assumptions!$C$7)+(Assumptions!$C$9-Assumptions!$C$11+0.1^2/2)*Assumptions!$C$10)/(0.1*SQRT(Assumptions!$C$10)))-0.1*SQRT(Assumptions!$C$10))</f>
        <v>383.253302752922</v>
      </c>
      <c r="D29" s="81" t="n">
        <f aca="false">2850*EXP(-Assumptions!$C$11*Assumptions!$C$10)*NORMSDIST((LN(2850/Assumptions!$C$7)+(Assumptions!$C$9-Assumptions!$C$11+0.15^2/2)*Assumptions!$C$10)/(0.15*SQRT(Assumptions!$C$10)))-Assumptions!$C$7*EXP(-Assumptions!$C$9*Assumptions!$C$10)*NORMSDIST(((LN(2850/Assumptions!$C$7)+(Assumptions!$C$9-Assumptions!$C$11+0.15^2/2)*Assumptions!$C$10)/(0.15*SQRT(Assumptions!$C$10)))-0.15*SQRT(Assumptions!$C$10))</f>
        <v>385.204756286566</v>
      </c>
      <c r="E29" s="81" t="n">
        <f aca="false">2850*EXP(-Assumptions!$C$11*Assumptions!$C$10)*NORMSDIST((LN(2850/Assumptions!$C$7)+(Assumptions!$C$9-Assumptions!$C$11+0.2^2/2)*Assumptions!$C$10)/(0.2*SQRT(Assumptions!$C$10)))-Assumptions!$C$7*EXP(-Assumptions!$C$9*Assumptions!$C$10)*NORMSDIST(((LN(2850/Assumptions!$C$7)+(Assumptions!$C$9-Assumptions!$C$11+0.2^2/2)*Assumptions!$C$10)/(0.2*SQRT(Assumptions!$C$10)))-0.2*SQRT(Assumptions!$C$10))</f>
        <v>391.892996210846</v>
      </c>
      <c r="F29" s="81" t="n">
        <f aca="false">2850*EXP(-Assumptions!$C$11*Assumptions!$C$10)*NORMSDIST((LN(2850/Assumptions!$C$7)+(Assumptions!$C$9-Assumptions!$C$11+0.25^2/2)*Assumptions!$C$10)/(0.25*SQRT(Assumptions!$C$10)))-Assumptions!$C$7*EXP(-Assumptions!$C$9*Assumptions!$C$10)*NORMSDIST(((LN(2850/Assumptions!$C$7)+(Assumptions!$C$9-Assumptions!$C$11+0.25^2/2)*Assumptions!$C$10)/(0.25*SQRT(Assumptions!$C$10)))-0.25*SQRT(Assumptions!$C$10))</f>
        <v>403.344600022368</v>
      </c>
      <c r="G29" s="81" t="n">
        <f aca="false">2850*EXP(-Assumptions!$C$11*Assumptions!$C$10)*NORMSDIST((LN(2850/Assumptions!$C$7)+(Assumptions!$C$9-Assumptions!$C$11+0.3^2/2)*Assumptions!$C$10)/(0.3*SQRT(Assumptions!$C$10)))-Assumptions!$C$7*EXP(-Assumptions!$C$9*Assumptions!$C$10)*NORMSDIST(((LN(2850/Assumptions!$C$7)+(Assumptions!$C$9-Assumptions!$C$11+0.3^2/2)*Assumptions!$C$10)/(0.3*SQRT(Assumptions!$C$10)))-0.3*SQRT(Assumptions!$C$10))</f>
        <v>418.415388893139</v>
      </c>
      <c r="H29" s="81" t="n">
        <f aca="false">2850*EXP(-Assumptions!$C$11*Assumptions!$C$10)*NORMSDIST((LN(2850/Assumptions!$C$7)+(Assumptions!$C$9-Assumptions!$C$11+0.35^2/2)*Assumptions!$C$10)/(0.35*SQRT(Assumptions!$C$10)))-Assumptions!$C$7*EXP(-Assumptions!$C$9*Assumptions!$C$10)*NORMSDIST(((LN(2850/Assumptions!$C$7)+(Assumptions!$C$9-Assumptions!$C$11+0.35^2/2)*Assumptions!$C$10)/(0.35*SQRT(Assumptions!$C$10)))-0.35*SQRT(Assumptions!$C$10))</f>
        <v>436.059966283048</v>
      </c>
      <c r="I29" s="81" t="n">
        <f aca="false">2850*EXP(-Assumptions!$C$11*Assumptions!$C$10)*NORMSDIST((LN(2850/Assumptions!$C$7)+(Assumptions!$C$9-Assumptions!$C$11+0.4^2/2)*Assumptions!$C$10)/(0.4*SQRT(Assumptions!$C$10)))-Assumptions!$C$7*EXP(-Assumptions!$C$9*Assumptions!$C$10)*NORMSDIST(((LN(2850/Assumptions!$C$7)+(Assumptions!$C$9-Assumptions!$C$11+0.4^2/2)*Assumptions!$C$10)/(0.4*SQRT(Assumptions!$C$10)))-0.4*SQRT(Assumptions!$C$10))</f>
        <v>455.528231584514</v>
      </c>
      <c r="J29" s="81" t="n">
        <f aca="false">2850*EXP(-Assumptions!$C$11*Assumptions!$C$10)*NORMSDIST((LN(2850/Assumptions!$C$7)+(Assumptions!$C$9-Assumptions!$C$11+0.45^2/2)*Assumptions!$C$10)/(0.45*SQRT(Assumptions!$C$10)))-Assumptions!$C$7*EXP(-Assumptions!$C$9*Assumptions!$C$10)*NORMSDIST(((LN(2850/Assumptions!$C$7)+(Assumptions!$C$9-Assumptions!$C$11+0.45^2/2)*Assumptions!$C$10)/(0.45*SQRT(Assumptions!$C$10)))-0.45*SQRT(Assumptions!$C$10))</f>
        <v>476.307139490583</v>
      </c>
      <c r="K29" s="81" t="n">
        <f aca="false">2850*EXP(-Assumptions!$C$11*Assumptions!$C$10)*NORMSDIST((LN(2850/Assumptions!$C$7)+(Assumptions!$C$9-Assumptions!$C$11+0.5^2/2)*Assumptions!$C$10)/(0.5*SQRT(Assumptions!$C$10)))-Assumptions!$C$7*EXP(-Assumptions!$C$9*Assumptions!$C$10)*NORMSDIST(((LN(2850/Assumptions!$C$7)+(Assumptions!$C$9-Assumptions!$C$11+0.5^2/2)*Assumptions!$C$10)/(0.5*SQRT(Assumptions!$C$10)))-0.5*SQRT(Assumptions!$C$10))</f>
        <v>498.044916592969</v>
      </c>
    </row>
    <row r="30" customFormat="false" ht="15.75" hidden="false" customHeight="true" outlineLevel="0" collapsed="false">
      <c r="B30" s="82" t="n">
        <v>2900</v>
      </c>
      <c r="C30" s="83" t="n">
        <f aca="false">2900*EXP(-Assumptions!$C$11*Assumptions!$C$10)*NORMSDIST((LN(2900/Assumptions!$C$7)+(Assumptions!$C$9-Assumptions!$C$11+0.1^2/2)*Assumptions!$C$10)/(0.1*SQRT(Assumptions!$C$10)))-Assumptions!$C$7*EXP(-Assumptions!$C$9*Assumptions!$C$10)*NORMSDIST(((LN(2900/Assumptions!$C$7)+(Assumptions!$C$9-Assumptions!$C$11+0.1^2/2)*Assumptions!$C$10)/(0.1*SQRT(Assumptions!$C$10)))-0.1*SQRT(Assumptions!$C$10))</f>
        <v>433.076767234664</v>
      </c>
      <c r="D30" s="83" t="n">
        <f aca="false">2900*EXP(-Assumptions!$C$11*Assumptions!$C$10)*NORMSDIST((LN(2900/Assumptions!$C$7)+(Assumptions!$C$9-Assumptions!$C$11+0.15^2/2)*Assumptions!$C$10)/(0.15*SQRT(Assumptions!$C$10)))-Assumptions!$C$7*EXP(-Assumptions!$C$9*Assumptions!$C$10)*NORMSDIST(((LN(2900/Assumptions!$C$7)+(Assumptions!$C$9-Assumptions!$C$11+0.15^2/2)*Assumptions!$C$10)/(0.15*SQRT(Assumptions!$C$10)))-0.15*SQRT(Assumptions!$C$10))</f>
        <v>434.142985276812</v>
      </c>
      <c r="E30" s="83" t="n">
        <f aca="false">2900*EXP(-Assumptions!$C$11*Assumptions!$C$10)*NORMSDIST((LN(2900/Assumptions!$C$7)+(Assumptions!$C$9-Assumptions!$C$11+0.2^2/2)*Assumptions!$C$10)/(0.2*SQRT(Assumptions!$C$10)))-Assumptions!$C$7*EXP(-Assumptions!$C$9*Assumptions!$C$10)*NORMSDIST(((LN(2900/Assumptions!$C$7)+(Assumptions!$C$9-Assumptions!$C$11+0.2^2/2)*Assumptions!$C$10)/(0.2*SQRT(Assumptions!$C$10)))-0.2*SQRT(Assumptions!$C$10))</f>
        <v>438.939691082682</v>
      </c>
      <c r="F30" s="83" t="n">
        <f aca="false">2900*EXP(-Assumptions!$C$11*Assumptions!$C$10)*NORMSDIST((LN(2900/Assumptions!$C$7)+(Assumptions!$C$9-Assumptions!$C$11+0.25^2/2)*Assumptions!$C$10)/(0.25*SQRT(Assumptions!$C$10)))-Assumptions!$C$7*EXP(-Assumptions!$C$9*Assumptions!$C$10)*NORMSDIST(((LN(2900/Assumptions!$C$7)+(Assumptions!$C$9-Assumptions!$C$11+0.25^2/2)*Assumptions!$C$10)/(0.25*SQRT(Assumptions!$C$10)))-0.25*SQRT(Assumptions!$C$10))</f>
        <v>448.301067897095</v>
      </c>
      <c r="G30" s="83" t="n">
        <f aca="false">2900*EXP(-Assumptions!$C$11*Assumptions!$C$10)*NORMSDIST((LN(2900/Assumptions!$C$7)+(Assumptions!$C$9-Assumptions!$C$11+0.3^2/2)*Assumptions!$C$10)/(0.3*SQRT(Assumptions!$C$10)))-Assumptions!$C$7*EXP(-Assumptions!$C$9*Assumptions!$C$10)*NORMSDIST(((LN(2900/Assumptions!$C$7)+(Assumptions!$C$9-Assumptions!$C$11+0.3^2/2)*Assumptions!$C$10)/(0.3*SQRT(Assumptions!$C$10)))-0.3*SQRT(Assumptions!$C$10))</f>
        <v>461.499310718093</v>
      </c>
      <c r="H30" s="83" t="n">
        <f aca="false">2900*EXP(-Assumptions!$C$11*Assumptions!$C$10)*NORMSDIST((LN(2900/Assumptions!$C$7)+(Assumptions!$C$9-Assumptions!$C$11+0.35^2/2)*Assumptions!$C$10)/(0.35*SQRT(Assumptions!$C$10)))-Assumptions!$C$7*EXP(-Assumptions!$C$9*Assumptions!$C$10)*NORMSDIST(((LN(2900/Assumptions!$C$7)+(Assumptions!$C$9-Assumptions!$C$11+0.35^2/2)*Assumptions!$C$10)/(0.35*SQRT(Assumptions!$C$10)))-0.35*SQRT(Assumptions!$C$10))</f>
        <v>477.582917416765</v>
      </c>
      <c r="I30" s="83" t="n">
        <f aca="false">2900*EXP(-Assumptions!$C$11*Assumptions!$C$10)*NORMSDIST((LN(2900/Assumptions!$C$7)+(Assumptions!$C$9-Assumptions!$C$11+0.4^2/2)*Assumptions!$C$10)/(0.4*SQRT(Assumptions!$C$10)))-Assumptions!$C$7*EXP(-Assumptions!$C$9*Assumptions!$C$10)*NORMSDIST(((LN(2900/Assumptions!$C$7)+(Assumptions!$C$9-Assumptions!$C$11+0.4^2/2)*Assumptions!$C$10)/(0.4*SQRT(Assumptions!$C$10)))-0.4*SQRT(Assumptions!$C$10))</f>
        <v>495.781981831334</v>
      </c>
      <c r="J30" s="83" t="n">
        <f aca="false">2900*EXP(-Assumptions!$C$11*Assumptions!$C$10)*NORMSDIST((LN(2900/Assumptions!$C$7)+(Assumptions!$C$9-Assumptions!$C$11+0.45^2/2)*Assumptions!$C$10)/(0.45*SQRT(Assumptions!$C$10)))-Assumptions!$C$7*EXP(-Assumptions!$C$9*Assumptions!$C$10)*NORMSDIST(((LN(2900/Assumptions!$C$7)+(Assumptions!$C$9-Assumptions!$C$11+0.45^2/2)*Assumptions!$C$10)/(0.45*SQRT(Assumptions!$C$10)))-0.45*SQRT(Assumptions!$C$10))</f>
        <v>515.536645602962</v>
      </c>
      <c r="K30" s="83" t="n">
        <f aca="false">2900*EXP(-Assumptions!$C$11*Assumptions!$C$10)*NORMSDIST((LN(2900/Assumptions!$C$7)+(Assumptions!$C$9-Assumptions!$C$11+0.5^2/2)*Assumptions!$C$10)/(0.5*SQRT(Assumptions!$C$10)))-Assumptions!$C$7*EXP(-Assumptions!$C$9*Assumptions!$C$10)*NORMSDIST(((LN(2900/Assumptions!$C$7)+(Assumptions!$C$9-Assumptions!$C$11+0.5^2/2)*Assumptions!$C$10)/(0.5*SQRT(Assumptions!$C$10)))-0.5*SQRT(Assumptions!$C$10))</f>
        <v>536.448809948574</v>
      </c>
    </row>
    <row r="31" customFormat="false" ht="15.75" hidden="false" customHeight="true" outlineLevel="0" collapsed="false">
      <c r="B31" s="80" t="n">
        <v>2950</v>
      </c>
      <c r="C31" s="81" t="n">
        <f aca="false">2950*EXP(-Assumptions!$C$11*Assumptions!$C$10)*NORMSDIST((LN(2950/Assumptions!$C$7)+(Assumptions!$C$9-Assumptions!$C$11+0.1^2/2)*Assumptions!$C$10)/(0.1*SQRT(Assumptions!$C$10)))-Assumptions!$C$7*EXP(-Assumptions!$C$9*Assumptions!$C$10)*NORMSDIST(((LN(2950/Assumptions!$C$7)+(Assumptions!$C$9-Assumptions!$C$11+0.1^2/2)*Assumptions!$C$10)/(0.1*SQRT(Assumptions!$C$10)))-0.1*SQRT(Assumptions!$C$10))</f>
        <v>482.936497122743</v>
      </c>
      <c r="D31" s="81" t="n">
        <f aca="false">2950*EXP(-Assumptions!$C$11*Assumptions!$C$10)*NORMSDIST((LN(2950/Assumptions!$C$7)+(Assumptions!$C$9-Assumptions!$C$11+0.15^2/2)*Assumptions!$C$10)/(0.15*SQRT(Assumptions!$C$10)))-Assumptions!$C$7*EXP(-Assumptions!$C$9*Assumptions!$C$10)*NORMSDIST(((LN(2950/Assumptions!$C$7)+(Assumptions!$C$9-Assumptions!$C$11+0.15^2/2)*Assumptions!$C$10)/(0.15*SQRT(Assumptions!$C$10)))-0.15*SQRT(Assumptions!$C$10))</f>
        <v>483.495949725492</v>
      </c>
      <c r="E31" s="81" t="n">
        <f aca="false">2950*EXP(-Assumptions!$C$11*Assumptions!$C$10)*NORMSDIST((LN(2950/Assumptions!$C$7)+(Assumptions!$C$9-Assumptions!$C$11+0.2^2/2)*Assumptions!$C$10)/(0.2*SQRT(Assumptions!$C$10)))-Assumptions!$C$7*EXP(-Assumptions!$C$9*Assumptions!$C$10)*NORMSDIST(((LN(2950/Assumptions!$C$7)+(Assumptions!$C$9-Assumptions!$C$11+0.2^2/2)*Assumptions!$C$10)/(0.2*SQRT(Assumptions!$C$10)))-0.2*SQRT(Assumptions!$C$10))</f>
        <v>486.839504657382</v>
      </c>
      <c r="F31" s="81" t="n">
        <f aca="false">2950*EXP(-Assumptions!$C$11*Assumptions!$C$10)*NORMSDIST((LN(2950/Assumptions!$C$7)+(Assumptions!$C$9-Assumptions!$C$11+0.25^2/2)*Assumptions!$C$10)/(0.25*SQRT(Assumptions!$C$10)))-Assumptions!$C$7*EXP(-Assumptions!$C$9*Assumptions!$C$10)*NORMSDIST(((LN(2950/Assumptions!$C$7)+(Assumptions!$C$9-Assumptions!$C$11+0.25^2/2)*Assumptions!$C$10)/(0.25*SQRT(Assumptions!$C$10)))-0.25*SQRT(Assumptions!$C$10))</f>
        <v>494.348617104872</v>
      </c>
      <c r="G31" s="81" t="n">
        <f aca="false">2950*EXP(-Assumptions!$C$11*Assumptions!$C$10)*NORMSDIST((LN(2950/Assumptions!$C$7)+(Assumptions!$C$9-Assumptions!$C$11+0.3^2/2)*Assumptions!$C$10)/(0.3*SQRT(Assumptions!$C$10)))-Assumptions!$C$7*EXP(-Assumptions!$C$9*Assumptions!$C$10)*NORMSDIST(((LN(2950/Assumptions!$C$7)+(Assumptions!$C$9-Assumptions!$C$11+0.3^2/2)*Assumptions!$C$10)/(0.3*SQRT(Assumptions!$C$10)))-0.3*SQRT(Assumptions!$C$10))</f>
        <v>505.756660121226</v>
      </c>
      <c r="H31" s="81" t="n">
        <f aca="false">2950*EXP(-Assumptions!$C$11*Assumptions!$C$10)*NORMSDIST((LN(2950/Assumptions!$C$7)+(Assumptions!$C$9-Assumptions!$C$11+0.35^2/2)*Assumptions!$C$10)/(0.35*SQRT(Assumptions!$C$10)))-Assumptions!$C$7*EXP(-Assumptions!$C$9*Assumptions!$C$10)*NORMSDIST(((LN(2950/Assumptions!$C$7)+(Assumptions!$C$9-Assumptions!$C$11+0.35^2/2)*Assumptions!$C$10)/(0.35*SQRT(Assumptions!$C$10)))-0.35*SQRT(Assumptions!$C$10))</f>
        <v>520.278589024928</v>
      </c>
      <c r="I31" s="81" t="n">
        <f aca="false">2950*EXP(-Assumptions!$C$11*Assumptions!$C$10)*NORMSDIST((LN(2950/Assumptions!$C$7)+(Assumptions!$C$9-Assumptions!$C$11+0.4^2/2)*Assumptions!$C$10)/(0.4*SQRT(Assumptions!$C$10)))-Assumptions!$C$7*EXP(-Assumptions!$C$9*Assumptions!$C$10)*NORMSDIST(((LN(2950/Assumptions!$C$7)+(Assumptions!$C$9-Assumptions!$C$11+0.4^2/2)*Assumptions!$C$10)/(0.4*SQRT(Assumptions!$C$10)))-0.4*SQRT(Assumptions!$C$10))</f>
        <v>537.168922651935</v>
      </c>
      <c r="J31" s="81" t="n">
        <f aca="false">2950*EXP(-Assumptions!$C$11*Assumptions!$C$10)*NORMSDIST((LN(2950/Assumptions!$C$7)+(Assumptions!$C$9-Assumptions!$C$11+0.45^2/2)*Assumptions!$C$10)/(0.45*SQRT(Assumptions!$C$10)))-Assumptions!$C$7*EXP(-Assumptions!$C$9*Assumptions!$C$10)*NORMSDIST(((LN(2950/Assumptions!$C$7)+(Assumptions!$C$9-Assumptions!$C$11+0.45^2/2)*Assumptions!$C$10)/(0.45*SQRT(Assumptions!$C$10)))-0.45*SQRT(Assumptions!$C$10))</f>
        <v>555.843834965738</v>
      </c>
      <c r="K31" s="81" t="n">
        <f aca="false">2950*EXP(-Assumptions!$C$11*Assumptions!$C$10)*NORMSDIST((LN(2950/Assumptions!$C$7)+(Assumptions!$C$9-Assumptions!$C$11+0.5^2/2)*Assumptions!$C$10)/(0.5*SQRT(Assumptions!$C$10)))-Assumptions!$C$7*EXP(-Assumptions!$C$9*Assumptions!$C$10)*NORMSDIST(((LN(2950/Assumptions!$C$7)+(Assumptions!$C$9-Assumptions!$C$11+0.5^2/2)*Assumptions!$C$10)/(0.5*SQRT(Assumptions!$C$10)))-0.5*SQRT(Assumptions!$C$10))</f>
        <v>575.870118754315</v>
      </c>
    </row>
    <row r="32" customFormat="false" ht="15.75" hidden="false" customHeight="true" outlineLevel="0" collapsed="false">
      <c r="B32" s="82" t="n">
        <v>3000</v>
      </c>
      <c r="C32" s="83" t="n">
        <f aca="false">3000*EXP(-Assumptions!$C$11*Assumptions!$C$10)*NORMSDIST((LN(3000/Assumptions!$C$7)+(Assumptions!$C$9-Assumptions!$C$11+0.1^2/2)*Assumptions!$C$10)/(0.1*SQRT(Assumptions!$C$10)))-Assumptions!$C$7*EXP(-Assumptions!$C$9*Assumptions!$C$10)*NORMSDIST(((LN(3000/Assumptions!$C$7)+(Assumptions!$C$9-Assumptions!$C$11+0.1^2/2)*Assumptions!$C$10)/(0.1*SQRT(Assumptions!$C$10)))-0.1*SQRT(Assumptions!$C$10))</f>
        <v>532.807438554095</v>
      </c>
      <c r="D32" s="83" t="n">
        <f aca="false">3000*EXP(-Assumptions!$C$11*Assumptions!$C$10)*NORMSDIST((LN(3000/Assumptions!$C$7)+(Assumptions!$C$9-Assumptions!$C$11+0.15^2/2)*Assumptions!$C$10)/(0.15*SQRT(Assumptions!$C$10)))-Assumptions!$C$7*EXP(-Assumptions!$C$9*Assumptions!$C$10)*NORMSDIST(((LN(3000/Assumptions!$C$7)+(Assumptions!$C$9-Assumptions!$C$11+0.15^2/2)*Assumptions!$C$10)/(0.15*SQRT(Assumptions!$C$10)))-0.15*SQRT(Assumptions!$C$10))</f>
        <v>533.090498682922</v>
      </c>
      <c r="E32" s="83" t="n">
        <f aca="false">3000*EXP(-Assumptions!$C$11*Assumptions!$C$10)*NORMSDIST((LN(3000/Assumptions!$C$7)+(Assumptions!$C$9-Assumptions!$C$11+0.2^2/2)*Assumptions!$C$10)/(0.2*SQRT(Assumptions!$C$10)))-Assumptions!$C$7*EXP(-Assumptions!$C$9*Assumptions!$C$10)*NORMSDIST(((LN(3000/Assumptions!$C$7)+(Assumptions!$C$9-Assumptions!$C$11+0.2^2/2)*Assumptions!$C$10)/(0.2*SQRT(Assumptions!$C$10)))-0.2*SQRT(Assumptions!$C$10))</f>
        <v>535.361224324189</v>
      </c>
      <c r="F32" s="83" t="n">
        <f aca="false">3000*EXP(-Assumptions!$C$11*Assumptions!$C$10)*NORMSDIST((LN(3000/Assumptions!$C$7)+(Assumptions!$C$9-Assumptions!$C$11+0.25^2/2)*Assumptions!$C$10)/(0.25*SQRT(Assumptions!$C$10)))-Assumptions!$C$7*EXP(-Assumptions!$C$9*Assumptions!$C$10)*NORMSDIST(((LN(3000/Assumptions!$C$7)+(Assumptions!$C$9-Assumptions!$C$11+0.25^2/2)*Assumptions!$C$10)/(0.25*SQRT(Assumptions!$C$10)))-0.25*SQRT(Assumptions!$C$10))</f>
        <v>541.278978667649</v>
      </c>
      <c r="G32" s="83" t="n">
        <f aca="false">3000*EXP(-Assumptions!$C$11*Assumptions!$C$10)*NORMSDIST((LN(3000/Assumptions!$C$7)+(Assumptions!$C$9-Assumptions!$C$11+0.3^2/2)*Assumptions!$C$10)/(0.3*SQRT(Assumptions!$C$10)))-Assumptions!$C$7*EXP(-Assumptions!$C$9*Assumptions!$C$10)*NORMSDIST(((LN(3000/Assumptions!$C$7)+(Assumptions!$C$9-Assumptions!$C$11+0.3^2/2)*Assumptions!$C$10)/(0.3*SQRT(Assumptions!$C$10)))-0.3*SQRT(Assumptions!$C$10))</f>
        <v>551.018921097169</v>
      </c>
      <c r="H32" s="83" t="n">
        <f aca="false">3000*EXP(-Assumptions!$C$11*Assumptions!$C$10)*NORMSDIST((LN(3000/Assumptions!$C$7)+(Assumptions!$C$9-Assumptions!$C$11+0.35^2/2)*Assumptions!$C$10)/(0.35*SQRT(Assumptions!$C$10)))-Assumptions!$C$7*EXP(-Assumptions!$C$9*Assumptions!$C$10)*NORMSDIST(((LN(3000/Assumptions!$C$7)+(Assumptions!$C$9-Assumptions!$C$11+0.35^2/2)*Assumptions!$C$10)/(0.35*SQRT(Assumptions!$C$10)))-0.35*SQRT(Assumptions!$C$10))</f>
        <v>564.013592509662</v>
      </c>
      <c r="I32" s="83" t="n">
        <f aca="false">3000*EXP(-Assumptions!$C$11*Assumptions!$C$10)*NORMSDIST((LN(3000/Assumptions!$C$7)+(Assumptions!$C$9-Assumptions!$C$11+0.4^2/2)*Assumptions!$C$10)/(0.4*SQRT(Assumptions!$C$10)))-Assumptions!$C$7*EXP(-Assumptions!$C$9*Assumptions!$C$10)*NORMSDIST(((LN(3000/Assumptions!$C$7)+(Assumptions!$C$9-Assumptions!$C$11+0.4^2/2)*Assumptions!$C$10)/(0.4*SQRT(Assumptions!$C$10)))-0.4*SQRT(Assumptions!$C$10))</f>
        <v>579.582775602567</v>
      </c>
      <c r="J32" s="83" t="n">
        <f aca="false">3000*EXP(-Assumptions!$C$11*Assumptions!$C$10)*NORMSDIST((LN(3000/Assumptions!$C$7)+(Assumptions!$C$9-Assumptions!$C$11+0.45^2/2)*Assumptions!$C$10)/(0.45*SQRT(Assumptions!$C$10)))-Assumptions!$C$7*EXP(-Assumptions!$C$9*Assumptions!$C$10)*NORMSDIST(((LN(3000/Assumptions!$C$7)+(Assumptions!$C$9-Assumptions!$C$11+0.45^2/2)*Assumptions!$C$10)/(0.45*SQRT(Assumptions!$C$10)))-0.45*SQRT(Assumptions!$C$10))</f>
        <v>597.142666626507</v>
      </c>
      <c r="K32" s="83" t="n">
        <f aca="false">3000*EXP(-Assumptions!$C$11*Assumptions!$C$10)*NORMSDIST((LN(3000/Assumptions!$C$7)+(Assumptions!$C$9-Assumptions!$C$11+0.5^2/2)*Assumptions!$C$10)/(0.5*SQRT(Assumptions!$C$10)))-Assumptions!$C$7*EXP(-Assumptions!$C$9*Assumptions!$C$10)*NORMSDIST(((LN(3000/Assumptions!$C$7)+(Assumptions!$C$9-Assumptions!$C$11+0.5^2/2)*Assumptions!$C$10)/(0.5*SQRT(Assumptions!$C$10)))-0.5*SQRT(Assumptions!$C$10))</f>
        <v>616.237902073505</v>
      </c>
    </row>
    <row r="33" customFormat="false" ht="15.75" hidden="false" customHeight="true" outlineLevel="0" collapsed="false">
      <c r="B33" s="80" t="n">
        <v>3050</v>
      </c>
      <c r="C33" s="81" t="n">
        <f aca="false">3050*EXP(-Assumptions!$C$11*Assumptions!$C$10)*NORMSDIST((LN(3050/Assumptions!$C$7)+(Assumptions!$C$9-Assumptions!$C$11+0.1^2/2)*Assumptions!$C$10)/(0.1*SQRT(Assumptions!$C$10)))-Assumptions!$C$7*EXP(-Assumptions!$C$9*Assumptions!$C$10)*NORMSDIST(((LN(3050/Assumptions!$C$7)+(Assumptions!$C$9-Assumptions!$C$11+0.1^2/2)*Assumptions!$C$10)/(0.1*SQRT(Assumptions!$C$10)))-0.1*SQRT(Assumptions!$C$10))</f>
        <v>582.681536397384</v>
      </c>
      <c r="D33" s="81" t="n">
        <f aca="false">3050*EXP(-Assumptions!$C$11*Assumptions!$C$10)*NORMSDIST((LN(3050/Assumptions!$C$7)+(Assumptions!$C$9-Assumptions!$C$11+0.15^2/2)*Assumptions!$C$10)/(0.15*SQRT(Assumptions!$C$10)))-Assumptions!$C$7*EXP(-Assumptions!$C$9*Assumptions!$C$10)*NORMSDIST(((LN(3050/Assumptions!$C$7)+(Assumptions!$C$9-Assumptions!$C$11+0.15^2/2)*Assumptions!$C$10)/(0.15*SQRT(Assumptions!$C$10)))-0.15*SQRT(Assumptions!$C$10))</f>
        <v>582.820059164139</v>
      </c>
      <c r="E33" s="81" t="n">
        <f aca="false">3050*EXP(-Assumptions!$C$11*Assumptions!$C$10)*NORMSDIST((LN(3050/Assumptions!$C$7)+(Assumptions!$C$9-Assumptions!$C$11+0.2^2/2)*Assumptions!$C$10)/(0.2*SQRT(Assumptions!$C$10)))-Assumptions!$C$7*EXP(-Assumptions!$C$9*Assumptions!$C$10)*NORMSDIST(((LN(3050/Assumptions!$C$7)+(Assumptions!$C$9-Assumptions!$C$11+0.2^2/2)*Assumptions!$C$10)/(0.2*SQRT(Assumptions!$C$10)))-0.2*SQRT(Assumptions!$C$10))</f>
        <v>584.325930324842</v>
      </c>
      <c r="F33" s="81" t="n">
        <f aca="false">3050*EXP(-Assumptions!$C$11*Assumptions!$C$10)*NORMSDIST((LN(3050/Assumptions!$C$7)+(Assumptions!$C$9-Assumptions!$C$11+0.25^2/2)*Assumptions!$C$10)/(0.25*SQRT(Assumptions!$C$10)))-Assumptions!$C$7*EXP(-Assumptions!$C$9*Assumptions!$C$10)*NORMSDIST(((LN(3050/Assumptions!$C$7)+(Assumptions!$C$9-Assumptions!$C$11+0.25^2/2)*Assumptions!$C$10)/(0.25*SQRT(Assumptions!$C$10)))-0.25*SQRT(Assumptions!$C$10))</f>
        <v>588.913242638295</v>
      </c>
      <c r="G33" s="81" t="n">
        <f aca="false">3050*EXP(-Assumptions!$C$11*Assumptions!$C$10)*NORMSDIST((LN(3050/Assumptions!$C$7)+(Assumptions!$C$9-Assumptions!$C$11+0.3^2/2)*Assumptions!$C$10)/(0.3*SQRT(Assumptions!$C$10)))-Assumptions!$C$7*EXP(-Assumptions!$C$9*Assumptions!$C$10)*NORMSDIST(((LN(3050/Assumptions!$C$7)+(Assumptions!$C$9-Assumptions!$C$11+0.3^2/2)*Assumptions!$C$10)/(0.3*SQRT(Assumptions!$C$10)))-0.3*SQRT(Assumptions!$C$10))</f>
        <v>597.133170870454</v>
      </c>
      <c r="H33" s="81" t="n">
        <f aca="false">3050*EXP(-Assumptions!$C$11*Assumptions!$C$10)*NORMSDIST((LN(3050/Assumptions!$C$7)+(Assumptions!$C$9-Assumptions!$C$11+0.35^2/2)*Assumptions!$C$10)/(0.35*SQRT(Assumptions!$C$10)))-Assumptions!$C$7*EXP(-Assumptions!$C$9*Assumptions!$C$10)*NORMSDIST(((LN(3050/Assumptions!$C$7)+(Assumptions!$C$9-Assumptions!$C$11+0.35^2/2)*Assumptions!$C$10)/(0.35*SQRT(Assumptions!$C$10)))-0.35*SQRT(Assumptions!$C$10))</f>
        <v>608.6630373883</v>
      </c>
      <c r="I33" s="81" t="n">
        <f aca="false">3050*EXP(-Assumptions!$C$11*Assumptions!$C$10)*NORMSDIST((LN(3050/Assumptions!$C$7)+(Assumptions!$C$9-Assumptions!$C$11+0.4^2/2)*Assumptions!$C$10)/(0.4*SQRT(Assumptions!$C$10)))-Assumptions!$C$7*EXP(-Assumptions!$C$9*Assumptions!$C$10)*NORMSDIST(((LN(3050/Assumptions!$C$7)+(Assumptions!$C$9-Assumptions!$C$11+0.4^2/2)*Assumptions!$C$10)/(0.4*SQRT(Assumptions!$C$10)))-0.4*SQRT(Assumptions!$C$10))</f>
        <v>622.92215607738</v>
      </c>
      <c r="J33" s="81" t="n">
        <f aca="false">3050*EXP(-Assumptions!$C$11*Assumptions!$C$10)*NORMSDIST((LN(3050/Assumptions!$C$7)+(Assumptions!$C$9-Assumptions!$C$11+0.45^2/2)*Assumptions!$C$10)/(0.45*SQRT(Assumptions!$C$10)))-Assumptions!$C$7*EXP(-Assumptions!$C$9*Assumptions!$C$10)*NORMSDIST(((LN(3050/Assumptions!$C$7)+(Assumptions!$C$9-Assumptions!$C$11+0.45^2/2)*Assumptions!$C$10)/(0.45*SQRT(Assumptions!$C$10)))-0.45*SQRT(Assumptions!$C$10))</f>
        <v>639.350117997752</v>
      </c>
      <c r="K33" s="81" t="n">
        <f aca="false">3050*EXP(-Assumptions!$C$11*Assumptions!$C$10)*NORMSDIST((LN(3050/Assumptions!$C$7)+(Assumptions!$C$9-Assumptions!$C$11+0.5^2/2)*Assumptions!$C$10)/(0.5*SQRT(Assumptions!$C$10)))-Assumptions!$C$7*EXP(-Assumptions!$C$9*Assumptions!$C$10)*NORMSDIST(((LN(3050/Assumptions!$C$7)+(Assumptions!$C$9-Assumptions!$C$11+0.5^2/2)*Assumptions!$C$10)/(0.5*SQRT(Assumptions!$C$10)))-0.5*SQRT(Assumptions!$C$10))</f>
        <v>657.4832259835</v>
      </c>
    </row>
    <row r="34" customFormat="false" ht="15.75" hidden="false" customHeight="true" outlineLevel="0" collapsed="false">
      <c r="B34" s="82" t="n">
        <v>3100</v>
      </c>
      <c r="C34" s="83" t="n">
        <f aca="false">3100*EXP(-Assumptions!$C$11*Assumptions!$C$10)*NORMSDIST((LN(3100/Assumptions!$C$7)+(Assumptions!$C$9-Assumptions!$C$11+0.1^2/2)*Assumptions!$C$10)/(0.1*SQRT(Assumptions!$C$10)))-Assumptions!$C$7*EXP(-Assumptions!$C$9*Assumptions!$C$10)*NORMSDIST(((LN(3100/Assumptions!$C$7)+(Assumptions!$C$9-Assumptions!$C$11+0.1^2/2)*Assumptions!$C$10)/(0.1*SQRT(Assumptions!$C$10)))-0.1*SQRT(Assumptions!$C$10))</f>
        <v>632.556447387557</v>
      </c>
      <c r="D34" s="83" t="n">
        <f aca="false">3100*EXP(-Assumptions!$C$11*Assumptions!$C$10)*NORMSDIST((LN(3100/Assumptions!$C$7)+(Assumptions!$C$9-Assumptions!$C$11+0.15^2/2)*Assumptions!$C$10)/(0.15*SQRT(Assumptions!$C$10)))-Assumptions!$C$7*EXP(-Assumptions!$C$9*Assumptions!$C$10)*NORMSDIST(((LN(3100/Assumptions!$C$7)+(Assumptions!$C$9-Assumptions!$C$11+0.15^2/2)*Assumptions!$C$10)/(0.15*SQRT(Assumptions!$C$10)))-0.15*SQRT(Assumptions!$C$10))</f>
        <v>632.622166705872</v>
      </c>
      <c r="E34" s="83" t="n">
        <f aca="false">3100*EXP(-Assumptions!$C$11*Assumptions!$C$10)*NORMSDIST((LN(3100/Assumptions!$C$7)+(Assumptions!$C$9-Assumptions!$C$11+0.2^2/2)*Assumptions!$C$10)/(0.2*SQRT(Assumptions!$C$10)))-Assumptions!$C$7*EXP(-Assumptions!$C$9*Assumptions!$C$10)*NORMSDIST(((LN(3100/Assumptions!$C$7)+(Assumptions!$C$9-Assumptions!$C$11+0.2^2/2)*Assumptions!$C$10)/(0.2*SQRT(Assumptions!$C$10)))-0.2*SQRT(Assumptions!$C$10))</f>
        <v>633.599336864687</v>
      </c>
      <c r="F34" s="83" t="n">
        <f aca="false">3100*EXP(-Assumptions!$C$11*Assumptions!$C$10)*NORMSDIST((LN(3100/Assumptions!$C$7)+(Assumptions!$C$9-Assumptions!$C$11+0.25^2/2)*Assumptions!$C$10)/(0.25*SQRT(Assumptions!$C$10)))-Assumptions!$C$7*EXP(-Assumptions!$C$9*Assumptions!$C$10)*NORMSDIST(((LN(3100/Assumptions!$C$7)+(Assumptions!$C$9-Assumptions!$C$11+0.25^2/2)*Assumptions!$C$10)/(0.25*SQRT(Assumptions!$C$10)))-0.25*SQRT(Assumptions!$C$10))</f>
        <v>637.101020007689</v>
      </c>
      <c r="G34" s="83" t="n">
        <f aca="false">3100*EXP(-Assumptions!$C$11*Assumptions!$C$10)*NORMSDIST((LN(3100/Assumptions!$C$7)+(Assumptions!$C$9-Assumptions!$C$11+0.3^2/2)*Assumptions!$C$10)/(0.3*SQRT(Assumptions!$C$10)))-Assumptions!$C$7*EXP(-Assumptions!$C$9*Assumptions!$C$10)*NORMSDIST(((LN(3100/Assumptions!$C$7)+(Assumptions!$C$9-Assumptions!$C$11+0.3^2/2)*Assumptions!$C$10)/(0.3*SQRT(Assumptions!$C$10)))-0.3*SQRT(Assumptions!$C$10))</f>
        <v>643.962918303947</v>
      </c>
      <c r="H34" s="83" t="n">
        <f aca="false">3100*EXP(-Assumptions!$C$11*Assumptions!$C$10)*NORMSDIST((LN(3100/Assumptions!$C$7)+(Assumptions!$C$9-Assumptions!$C$11+0.35^2/2)*Assumptions!$C$10)/(0.35*SQRT(Assumptions!$C$10)))-Assumptions!$C$7*EXP(-Assumptions!$C$9*Assumptions!$C$10)*NORMSDIST(((LN(3100/Assumptions!$C$7)+(Assumptions!$C$9-Assumptions!$C$11+0.35^2/2)*Assumptions!$C$10)/(0.35*SQRT(Assumptions!$C$10)))-0.35*SQRT(Assumptions!$C$10))</f>
        <v>654.111524451019</v>
      </c>
      <c r="I34" s="83" t="n">
        <f aca="false">3100*EXP(-Assumptions!$C$11*Assumptions!$C$10)*NORMSDIST((LN(3100/Assumptions!$C$7)+(Assumptions!$C$9-Assumptions!$C$11+0.4^2/2)*Assumptions!$C$10)/(0.4*SQRT(Assumptions!$C$10)))-Assumptions!$C$7*EXP(-Assumptions!$C$9*Assumptions!$C$10)*NORMSDIST(((LN(3100/Assumptions!$C$7)+(Assumptions!$C$9-Assumptions!$C$11+0.4^2/2)*Assumptions!$C$10)/(0.4*SQRT(Assumptions!$C$10)))-0.4*SQRT(Assumptions!$C$10))</f>
        <v>667.091387598839</v>
      </c>
      <c r="J34" s="83" t="n">
        <f aca="false">3100*EXP(-Assumptions!$C$11*Assumptions!$C$10)*NORMSDIST((LN(3100/Assumptions!$C$7)+(Assumptions!$C$9-Assumptions!$C$11+0.45^2/2)*Assumptions!$C$10)/(0.45*SQRT(Assumptions!$C$10)))-Assumptions!$C$7*EXP(-Assumptions!$C$9*Assumptions!$C$10)*NORMSDIST(((LN(3100/Assumptions!$C$7)+(Assumptions!$C$9-Assumptions!$C$11+0.45^2/2)*Assumptions!$C$10)/(0.45*SQRT(Assumptions!$C$10)))-0.45*SQRT(Assumptions!$C$10))</f>
        <v>682.386795843086</v>
      </c>
      <c r="K34" s="83" t="n">
        <f aca="false">3100*EXP(-Assumptions!$C$11*Assumptions!$C$10)*NORMSDIST((LN(3100/Assumptions!$C$7)+(Assumptions!$C$9-Assumptions!$C$11+0.5^2/2)*Assumptions!$C$10)/(0.5*SQRT(Assumptions!$C$10)))-Assumptions!$C$7*EXP(-Assumptions!$C$9*Assumptions!$C$10)*NORMSDIST(((LN(3100/Assumptions!$C$7)+(Assumptions!$C$9-Assumptions!$C$11+0.5^2/2)*Assumptions!$C$10)/(0.5*SQRT(Assumptions!$C$10)))-0.5*SQRT(Assumptions!$C$10))</f>
        <v>699.539611066484</v>
      </c>
    </row>
    <row r="35" customFormat="false" ht="15.75" hidden="false" customHeight="true" outlineLevel="0" collapsed="false">
      <c r="B35" s="80" t="n">
        <v>3150</v>
      </c>
      <c r="C35" s="81" t="n">
        <f aca="false">3150*EXP(-Assumptions!$C$11*Assumptions!$C$10)*NORMSDIST((LN(3150/Assumptions!$C$7)+(Assumptions!$C$9-Assumptions!$C$11+0.1^2/2)*Assumptions!$C$10)/(0.1*SQRT(Assumptions!$C$10)))-Assumptions!$C$7*EXP(-Assumptions!$C$9*Assumptions!$C$10)*NORMSDIST(((LN(3150/Assumptions!$C$7)+(Assumptions!$C$9-Assumptions!$C$11+0.1^2/2)*Assumptions!$C$10)/(0.1*SQRT(Assumptions!$C$10)))-0.1*SQRT(Assumptions!$C$10))</f>
        <v>682.431550936123</v>
      </c>
      <c r="D35" s="81" t="n">
        <f aca="false">3150*EXP(-Assumptions!$C$11*Assumptions!$C$10)*NORMSDIST((LN(3150/Assumptions!$C$7)+(Assumptions!$C$9-Assumptions!$C$11+0.15^2/2)*Assumptions!$C$10)/(0.15*SQRT(Assumptions!$C$10)))-Assumptions!$C$7*EXP(-Assumptions!$C$9*Assumptions!$C$10)*NORMSDIST(((LN(3150/Assumptions!$C$7)+(Assumptions!$C$9-Assumptions!$C$11+0.15^2/2)*Assumptions!$C$10)/(0.15*SQRT(Assumptions!$C$10)))-0.15*SQRT(Assumptions!$C$10))</f>
        <v>682.461832308706</v>
      </c>
      <c r="E35" s="81" t="n">
        <f aca="false">3150*EXP(-Assumptions!$C$11*Assumptions!$C$10)*NORMSDIST((LN(3150/Assumptions!$C$7)+(Assumptions!$C$9-Assumptions!$C$11+0.2^2/2)*Assumptions!$C$10)/(0.2*SQRT(Assumptions!$C$10)))-Assumptions!$C$7*EXP(-Assumptions!$C$9*Assumptions!$C$10)*NORMSDIST(((LN(3150/Assumptions!$C$7)+(Assumptions!$C$9-Assumptions!$C$11+0.2^2/2)*Assumptions!$C$10)/(0.2*SQRT(Assumptions!$C$10)))-0.2*SQRT(Assumptions!$C$10))</f>
        <v>683.083443789575</v>
      </c>
      <c r="F35" s="81" t="n">
        <f aca="false">3150*EXP(-Assumptions!$C$11*Assumptions!$C$10)*NORMSDIST((LN(3150/Assumptions!$C$7)+(Assumptions!$C$9-Assumptions!$C$11+0.25^2/2)*Assumptions!$C$10)/(0.25*SQRT(Assumptions!$C$10)))-Assumptions!$C$7*EXP(-Assumptions!$C$9*Assumptions!$C$10)*NORMSDIST(((LN(3150/Assumptions!$C$7)+(Assumptions!$C$9-Assumptions!$C$11+0.25^2/2)*Assumptions!$C$10)/(0.25*SQRT(Assumptions!$C$10)))-0.25*SQRT(Assumptions!$C$10))</f>
        <v>685.718367219432</v>
      </c>
      <c r="G35" s="81" t="n">
        <f aca="false">3150*EXP(-Assumptions!$C$11*Assumptions!$C$10)*NORMSDIST((LN(3150/Assumptions!$C$7)+(Assumptions!$C$9-Assumptions!$C$11+0.3^2/2)*Assumptions!$C$10)/(0.3*SQRT(Assumptions!$C$10)))-Assumptions!$C$7*EXP(-Assumptions!$C$9*Assumptions!$C$10)*NORMSDIST(((LN(3150/Assumptions!$C$7)+(Assumptions!$C$9-Assumptions!$C$11+0.3^2/2)*Assumptions!$C$10)/(0.3*SQRT(Assumptions!$C$10)))-0.3*SQRT(Assumptions!$C$10))</f>
        <v>691.388150194188</v>
      </c>
      <c r="H35" s="81" t="n">
        <f aca="false">3150*EXP(-Assumptions!$C$11*Assumptions!$C$10)*NORMSDIST((LN(3150/Assumptions!$C$7)+(Assumptions!$C$9-Assumptions!$C$11+0.35^2/2)*Assumptions!$C$10)/(0.35*SQRT(Assumptions!$C$10)))-Assumptions!$C$7*EXP(-Assumptions!$C$9*Assumptions!$C$10)*NORMSDIST(((LN(3150/Assumptions!$C$7)+(Assumptions!$C$9-Assumptions!$C$11+0.35^2/2)*Assumptions!$C$10)/(0.35*SQRT(Assumptions!$C$10)))-0.35*SQRT(Assumptions!$C$10))</f>
        <v>700.253685881451</v>
      </c>
      <c r="I35" s="81" t="n">
        <f aca="false">3150*EXP(-Assumptions!$C$11*Assumptions!$C$10)*NORMSDIST((LN(3150/Assumptions!$C$7)+(Assumptions!$C$9-Assumptions!$C$11+0.4^2/2)*Assumptions!$C$10)/(0.4*SQRT(Assumptions!$C$10)))-Assumptions!$C$7*EXP(-Assumptions!$C$9*Assumptions!$C$10)*NORMSDIST(((LN(3150/Assumptions!$C$7)+(Assumptions!$C$9-Assumptions!$C$11+0.4^2/2)*Assumptions!$C$10)/(0.4*SQRT(Assumptions!$C$10)))-0.4*SQRT(Assumptions!$C$10))</f>
        <v>712.001053927296</v>
      </c>
      <c r="J35" s="81" t="n">
        <f aca="false">3150*EXP(-Assumptions!$C$11*Assumptions!$C$10)*NORMSDIST((LN(3150/Assumptions!$C$7)+(Assumptions!$C$9-Assumptions!$C$11+0.45^2/2)*Assumptions!$C$10)/(0.45*SQRT(Assumptions!$C$10)))-Assumptions!$C$7*EXP(-Assumptions!$C$9*Assumptions!$C$10)*NORMSDIST(((LN(3150/Assumptions!$C$7)+(Assumptions!$C$9-Assumptions!$C$11+0.45^2/2)*Assumptions!$C$10)/(0.45*SQRT(Assumptions!$C$10)))-0.45*SQRT(Assumptions!$C$10))</f>
        <v>726.177388997291</v>
      </c>
      <c r="K35" s="81" t="n">
        <f aca="false">3150*EXP(-Assumptions!$C$11*Assumptions!$C$10)*NORMSDIST((LN(3150/Assumptions!$C$7)+(Assumptions!$C$9-Assumptions!$C$11+0.5^2/2)*Assumptions!$C$10)/(0.5*SQRT(Assumptions!$C$10)))-Assumptions!$C$7*EXP(-Assumptions!$C$9*Assumptions!$C$10)*NORMSDIST(((LN(3150/Assumptions!$C$7)+(Assumptions!$C$9-Assumptions!$C$11+0.5^2/2)*Assumptions!$C$10)/(0.5*SQRT(Assumptions!$C$10)))-0.5*SQRT(Assumptions!$C$10))</f>
        <v>742.343379754715</v>
      </c>
    </row>
    <row r="36" customFormat="false" ht="15.75" hidden="false" customHeight="true" outlineLevel="0" collapsed="false">
      <c r="B36" s="82" t="n">
        <v>3200</v>
      </c>
      <c r="C36" s="83" t="n">
        <f aca="false">3200*EXP(-Assumptions!$C$11*Assumptions!$C$10)*NORMSDIST((LN(3200/Assumptions!$C$7)+(Assumptions!$C$9-Assumptions!$C$11+0.1^2/2)*Assumptions!$C$10)/(0.1*SQRT(Assumptions!$C$10)))-Assumptions!$C$7*EXP(-Assumptions!$C$9*Assumptions!$C$10)*NORMSDIST(((LN(3200/Assumptions!$C$7)+(Assumptions!$C$9-Assumptions!$C$11+0.1^2/2)*Assumptions!$C$10)/(0.1*SQRT(Assumptions!$C$10)))-0.1*SQRT(Assumptions!$C$10))</f>
        <v>732.306696579897</v>
      </c>
      <c r="D36" s="83" t="n">
        <f aca="false">3200*EXP(-Assumptions!$C$11*Assumptions!$C$10)*NORMSDIST((LN(3200/Assumptions!$C$7)+(Assumptions!$C$9-Assumptions!$C$11+0.15^2/2)*Assumptions!$C$10)/(0.15*SQRT(Assumptions!$C$10)))-Assumptions!$C$7*EXP(-Assumptions!$C$9*Assumptions!$C$10)*NORMSDIST(((LN(3200/Assumptions!$C$7)+(Assumptions!$C$9-Assumptions!$C$11+0.15^2/2)*Assumptions!$C$10)/(0.15*SQRT(Assumptions!$C$10)))-0.15*SQRT(Assumptions!$C$10))</f>
        <v>732.320267543656</v>
      </c>
      <c r="E36" s="83" t="n">
        <f aca="false">3200*EXP(-Assumptions!$C$11*Assumptions!$C$10)*NORMSDIST((LN(3200/Assumptions!$C$7)+(Assumptions!$C$9-Assumptions!$C$11+0.2^2/2)*Assumptions!$C$10)/(0.2*SQRT(Assumptions!$C$10)))-Assumptions!$C$7*EXP(-Assumptions!$C$9*Assumptions!$C$10)*NORMSDIST(((LN(3200/Assumptions!$C$7)+(Assumptions!$C$9-Assumptions!$C$11+0.2^2/2)*Assumptions!$C$10)/(0.2*SQRT(Assumptions!$C$10)))-0.2*SQRT(Assumptions!$C$10))</f>
        <v>732.708558720404</v>
      </c>
      <c r="F36" s="83" t="n">
        <f aca="false">3200*EXP(-Assumptions!$C$11*Assumptions!$C$10)*NORMSDIST((LN(3200/Assumptions!$C$7)+(Assumptions!$C$9-Assumptions!$C$11+0.25^2/2)*Assumptions!$C$10)/(0.25*SQRT(Assumptions!$C$10)))-Assumptions!$C$7*EXP(-Assumptions!$C$9*Assumptions!$C$10)*NORMSDIST(((LN(3200/Assumptions!$C$7)+(Assumptions!$C$9-Assumptions!$C$11+0.25^2/2)*Assumptions!$C$10)/(0.25*SQRT(Assumptions!$C$10)))-0.25*SQRT(Assumptions!$C$10))</f>
        <v>734.664966609385</v>
      </c>
      <c r="G36" s="83" t="n">
        <f aca="false">3200*EXP(-Assumptions!$C$11*Assumptions!$C$10)*NORMSDIST((LN(3200/Assumptions!$C$7)+(Assumptions!$C$9-Assumptions!$C$11+0.3^2/2)*Assumptions!$C$10)/(0.3*SQRT(Assumptions!$C$10)))-Assumptions!$C$7*EXP(-Assumptions!$C$9*Assumptions!$C$10)*NORMSDIST(((LN(3200/Assumptions!$C$7)+(Assumptions!$C$9-Assumptions!$C$11+0.3^2/2)*Assumptions!$C$10)/(0.3*SQRT(Assumptions!$C$10)))-0.3*SQRT(Assumptions!$C$10))</f>
        <v>739.304772756233</v>
      </c>
      <c r="H36" s="83" t="n">
        <f aca="false">3200*EXP(-Assumptions!$C$11*Assumptions!$C$10)*NORMSDIST((LN(3200/Assumptions!$C$7)+(Assumptions!$C$9-Assumptions!$C$11+0.35^2/2)*Assumptions!$C$10)/(0.35*SQRT(Assumptions!$C$10)))-Assumptions!$C$7*EXP(-Assumptions!$C$9*Assumptions!$C$10)*NORMSDIST(((LN(3200/Assumptions!$C$7)+(Assumptions!$C$9-Assumptions!$C$11+0.35^2/2)*Assumptions!$C$10)/(0.35*SQRT(Assumptions!$C$10)))-0.35*SQRT(Assumptions!$C$10))</f>
        <v>746.994347044291</v>
      </c>
      <c r="I36" s="83" t="n">
        <f aca="false">3200*EXP(-Assumptions!$C$11*Assumptions!$C$10)*NORMSDIST((LN(3200/Assumptions!$C$7)+(Assumptions!$C$9-Assumptions!$C$11+0.4^2/2)*Assumptions!$C$10)/(0.4*SQRT(Assumptions!$C$10)))-Assumptions!$C$7*EXP(-Assumptions!$C$9*Assumptions!$C$10)*NORMSDIST(((LN(3200/Assumptions!$C$7)+(Assumptions!$C$9-Assumptions!$C$11+0.4^2/2)*Assumptions!$C$10)/(0.4*SQRT(Assumptions!$C$10)))-0.4*SQRT(Assumptions!$C$10))</f>
        <v>757.568322328185</v>
      </c>
      <c r="J36" s="83" t="n">
        <f aca="false">3200*EXP(-Assumptions!$C$11*Assumptions!$C$10)*NORMSDIST((LN(3200/Assumptions!$C$7)+(Assumptions!$C$9-Assumptions!$C$11+0.45^2/2)*Assumptions!$C$10)/(0.45*SQRT(Assumptions!$C$10)))-Assumptions!$C$7*EXP(-Assumptions!$C$9*Assumptions!$C$10)*NORMSDIST(((LN(3200/Assumptions!$C$7)+(Assumptions!$C$9-Assumptions!$C$11+0.45^2/2)*Assumptions!$C$10)/(0.45*SQRT(Assumptions!$C$10)))-0.45*SQRT(Assumptions!$C$10))</f>
        <v>770.650979677046</v>
      </c>
      <c r="K36" s="83" t="n">
        <f aca="false">3200*EXP(-Assumptions!$C$11*Assumptions!$C$10)*NORMSDIST((LN(3200/Assumptions!$C$7)+(Assumptions!$C$9-Assumptions!$C$11+0.5^2/2)*Assumptions!$C$10)/(0.5*SQRT(Assumptions!$C$10)))-Assumptions!$C$7*EXP(-Assumptions!$C$9*Assumptions!$C$10)*NORMSDIST(((LN(3200/Assumptions!$C$7)+(Assumptions!$C$9-Assumptions!$C$11+0.5^2/2)*Assumptions!$C$10)/(0.5*SQRT(Assumptions!$C$10)))-0.5*SQRT(Assumptions!$C$10))</f>
        <v>785.833913097869</v>
      </c>
    </row>
    <row r="37" customFormat="false" ht="15.75" hidden="false" customHeight="true" outlineLevel="0" collapsed="false">
      <c r="B37" s="80" t="n">
        <v>3250</v>
      </c>
      <c r="C37" s="81" t="n">
        <f aca="false">3250*EXP(-Assumptions!$C$11*Assumptions!$C$10)*NORMSDIST((LN(3250/Assumptions!$C$7)+(Assumptions!$C$9-Assumptions!$C$11+0.1^2/2)*Assumptions!$C$10)/(0.1*SQRT(Assumptions!$C$10)))-Assumptions!$C$7*EXP(-Assumptions!$C$9*Assumptions!$C$10)*NORMSDIST(((LN(3250/Assumptions!$C$7)+(Assumptions!$C$9-Assumptions!$C$11+0.1^2/2)*Assumptions!$C$10)/(0.1*SQRT(Assumptions!$C$10)))-0.1*SQRT(Assumptions!$C$10))</f>
        <v>782.181850753364</v>
      </c>
      <c r="D37" s="81" t="n">
        <f aca="false">3250*EXP(-Assumptions!$C$11*Assumptions!$C$10)*NORMSDIST((LN(3250/Assumptions!$C$7)+(Assumptions!$C$9-Assumptions!$C$11+0.15^2/2)*Assumptions!$C$10)/(0.15*SQRT(Assumptions!$C$10)))-Assumptions!$C$7*EXP(-Assumptions!$C$9*Assumptions!$C$10)*NORMSDIST(((LN(3250/Assumptions!$C$7)+(Assumptions!$C$9-Assumptions!$C$11+0.15^2/2)*Assumptions!$C$10)/(0.15*SQRT(Assumptions!$C$10)))-0.15*SQRT(Assumptions!$C$10))</f>
        <v>782.187773961393</v>
      </c>
      <c r="E37" s="81" t="n">
        <f aca="false">3250*EXP(-Assumptions!$C$11*Assumptions!$C$10)*NORMSDIST((LN(3250/Assumptions!$C$7)+(Assumptions!$C$9-Assumptions!$C$11+0.2^2/2)*Assumptions!$C$10)/(0.2*SQRT(Assumptions!$C$10)))-Assumptions!$C$7*EXP(-Assumptions!$C$9*Assumptions!$C$10)*NORMSDIST(((LN(3250/Assumptions!$C$7)+(Assumptions!$C$9-Assumptions!$C$11+0.2^2/2)*Assumptions!$C$10)/(0.2*SQRT(Assumptions!$C$10)))-0.2*SQRT(Assumptions!$C$10))</f>
        <v>782.42629577396</v>
      </c>
      <c r="F37" s="81" t="n">
        <f aca="false">3250*EXP(-Assumptions!$C$11*Assumptions!$C$10)*NORMSDIST((LN(3250/Assumptions!$C$7)+(Assumptions!$C$9-Assumptions!$C$11+0.25^2/2)*Assumptions!$C$10)/(0.25*SQRT(Assumptions!$C$10)))-Assumptions!$C$7*EXP(-Assumptions!$C$9*Assumptions!$C$10)*NORMSDIST(((LN(3250/Assumptions!$C$7)+(Assumptions!$C$9-Assumptions!$C$11+0.25^2/2)*Assumptions!$C$10)/(0.25*SQRT(Assumptions!$C$10)))-0.25*SQRT(Assumptions!$C$10))</f>
        <v>783.860964786597</v>
      </c>
      <c r="G37" s="81" t="n">
        <f aca="false">3250*EXP(-Assumptions!$C$11*Assumptions!$C$10)*NORMSDIST((LN(3250/Assumptions!$C$7)+(Assumptions!$C$9-Assumptions!$C$11+0.3^2/2)*Assumptions!$C$10)/(0.3*SQRT(Assumptions!$C$10)))-Assumptions!$C$7*EXP(-Assumptions!$C$9*Assumptions!$C$10)*NORMSDIST(((LN(3250/Assumptions!$C$7)+(Assumptions!$C$9-Assumptions!$C$11+0.3^2/2)*Assumptions!$C$10)/(0.3*SQRT(Assumptions!$C$10)))-0.3*SQRT(Assumptions!$C$10))</f>
        <v>787.623622850719</v>
      </c>
      <c r="H37" s="81" t="n">
        <f aca="false">3250*EXP(-Assumptions!$C$11*Assumptions!$C$10)*NORMSDIST((LN(3250/Assumptions!$C$7)+(Assumptions!$C$9-Assumptions!$C$11+0.35^2/2)*Assumptions!$C$10)/(0.35*SQRT(Assumptions!$C$10)))-Assumptions!$C$7*EXP(-Assumptions!$C$9*Assumptions!$C$10)*NORMSDIST(((LN(3250/Assumptions!$C$7)+(Assumptions!$C$9-Assumptions!$C$11+0.35^2/2)*Assumptions!$C$10)/(0.35*SQRT(Assumptions!$C$10)))-0.35*SQRT(Assumptions!$C$10))</f>
        <v>794.248384689965</v>
      </c>
      <c r="I37" s="81" t="n">
        <f aca="false">3250*EXP(-Assumptions!$C$11*Assumptions!$C$10)*NORMSDIST((LN(3250/Assumptions!$C$7)+(Assumptions!$C$9-Assumptions!$C$11+0.4^2/2)*Assumptions!$C$10)/(0.4*SQRT(Assumptions!$C$10)))-Assumptions!$C$7*EXP(-Assumptions!$C$9*Assumptions!$C$10)*NORMSDIST(((LN(3250/Assumptions!$C$7)+(Assumptions!$C$9-Assumptions!$C$11+0.4^2/2)*Assumptions!$C$10)/(0.4*SQRT(Assumptions!$C$10)))-0.4*SQRT(Assumptions!$C$10))</f>
        <v>803.717072608734</v>
      </c>
      <c r="J37" s="81" t="n">
        <f aca="false">3250*EXP(-Assumptions!$C$11*Assumptions!$C$10)*NORMSDIST((LN(3250/Assumptions!$C$7)+(Assumptions!$C$9-Assumptions!$C$11+0.45^2/2)*Assumptions!$C$10)/(0.45*SQRT(Assumptions!$C$10)))-Assumptions!$C$7*EXP(-Assumptions!$C$9*Assumptions!$C$10)*NORMSDIST(((LN(3250/Assumptions!$C$7)+(Assumptions!$C$9-Assumptions!$C$11+0.45^2/2)*Assumptions!$C$10)/(0.45*SQRT(Assumptions!$C$10)))-0.45*SQRT(Assumptions!$C$10))</f>
        <v>815.741231114591</v>
      </c>
      <c r="K37" s="81" t="n">
        <f aca="false">3250*EXP(-Assumptions!$C$11*Assumptions!$C$10)*NORMSDIST((LN(3250/Assumptions!$C$7)+(Assumptions!$C$9-Assumptions!$C$11+0.5^2/2)*Assumptions!$C$10)/(0.5*SQRT(Assumptions!$C$10)))-Assumptions!$C$7*EXP(-Assumptions!$C$9*Assumptions!$C$10)*NORMSDIST(((LN(3250/Assumptions!$C$7)+(Assumptions!$C$9-Assumptions!$C$11+0.5^2/2)*Assumptions!$C$10)/(0.5*SQRT(Assumptions!$C$10)))-0.5*SQRT(Assumptions!$C$10))</f>
        <v>829.953826983414</v>
      </c>
    </row>
    <row r="38" customFormat="false" ht="12" hidden="false" customHeight="true" outlineLevel="0" collapsed="false"/>
    <row r="39" customFormat="false" ht="21.75" hidden="false" customHeight="true" outlineLevel="0" collapsed="false">
      <c r="B39" s="86" t="s">
        <v>161</v>
      </c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</row>
    <row r="40" customFormat="false" ht="21.75" hidden="false" customHeight="true" outlineLevel="0" collapsed="false">
      <c r="B40" s="78" t="s">
        <v>151</v>
      </c>
      <c r="C40" s="87" t="s">
        <v>152</v>
      </c>
      <c r="D40" s="87" t="s">
        <v>153</v>
      </c>
      <c r="E40" s="87" t="s">
        <v>154</v>
      </c>
      <c r="F40" s="87" t="s">
        <v>155</v>
      </c>
      <c r="G40" s="87" t="s">
        <v>156</v>
      </c>
      <c r="H40" s="87" t="s">
        <v>157</v>
      </c>
      <c r="I40" s="87" t="s">
        <v>158</v>
      </c>
      <c r="J40" s="87" t="s">
        <v>159</v>
      </c>
      <c r="K40" s="87" t="s">
        <v>160</v>
      </c>
    </row>
    <row r="41" customFormat="false" ht="15.75" hidden="false" customHeight="true" outlineLevel="0" collapsed="false">
      <c r="B41" s="88" t="n">
        <v>1750</v>
      </c>
      <c r="C41" s="89" t="n">
        <f aca="false">Assumptions!$C$7*EXP(-Assumptions!$C$9*Assumptions!$C$10)*NORMSDIST(-(((LN(1750/Assumptions!$C$7)+(Assumptions!$C$9-Assumptions!$C$11+0.1^2/2)*Assumptions!$C$10)/(0.1*SQRT(Assumptions!$C$10)))-0.1*SQRT(Assumptions!$C$10)))-1750*EXP(-Assumptions!$C$11*Assumptions!$C$10)*NORMSDIST(-((LN(1750/Assumptions!$C$7)+(Assumptions!$C$9-Assumptions!$C$11+0.1^2/2)*Assumptions!$C$10)/(0.1*SQRT(Assumptions!$C$10))))</f>
        <v>714.072833246214</v>
      </c>
      <c r="D41" s="89" t="n">
        <f aca="false">Assumptions!$C$7*EXP(-Assumptions!$C$9*Assumptions!$C$10)*NORMSDIST(-(((LN(1750/Assumptions!$C$7)+(Assumptions!$C$9-Assumptions!$C$11+0.15^2/2)*Assumptions!$C$10)/(0.15*SQRT(Assumptions!$C$10)))-0.15*SQRT(Assumptions!$C$10)))-1750*EXP(-Assumptions!$C$11*Assumptions!$C$10)*NORMSDIST(-((LN(1750/Assumptions!$C$7)+(Assumptions!$C$9-Assumptions!$C$11+0.15^2/2)*Assumptions!$C$10)/(0.15*SQRT(Assumptions!$C$10))))</f>
        <v>714.07290873516</v>
      </c>
      <c r="E41" s="89" t="n">
        <f aca="false">Assumptions!$C$7*EXP(-Assumptions!$C$9*Assumptions!$C$10)*NORMSDIST(-(((LN(1750/Assumptions!$C$7)+(Assumptions!$C$9-Assumptions!$C$11+0.2^2/2)*Assumptions!$C$10)/(0.2*SQRT(Assumptions!$C$10)))-0.2*SQRT(Assumptions!$C$10)))-1750*EXP(-Assumptions!$C$11*Assumptions!$C$10)*NORMSDIST(-((LN(1750/Assumptions!$C$7)+(Assumptions!$C$9-Assumptions!$C$11+0.2^2/2)*Assumptions!$C$10)/(0.2*SQRT(Assumptions!$C$10))))</f>
        <v>714.088836107545</v>
      </c>
      <c r="F41" s="89" t="n">
        <f aca="false">Assumptions!$C$7*EXP(-Assumptions!$C$9*Assumptions!$C$10)*NORMSDIST(-(((LN(1750/Assumptions!$C$7)+(Assumptions!$C$9-Assumptions!$C$11+0.25^2/2)*Assumptions!$C$10)/(0.25*SQRT(Assumptions!$C$10)))-0.25*SQRT(Assumptions!$C$10)))-1750*EXP(-Assumptions!$C$11*Assumptions!$C$10)*NORMSDIST(-((LN(1750/Assumptions!$C$7)+(Assumptions!$C$9-Assumptions!$C$11+0.25^2/2)*Assumptions!$C$10)/(0.25*SQRT(Assumptions!$C$10))))</f>
        <v>714.310495641121</v>
      </c>
      <c r="G41" s="89" t="n">
        <f aca="false">Assumptions!$C$7*EXP(-Assumptions!$C$9*Assumptions!$C$10)*NORMSDIST(-(((LN(1750/Assumptions!$C$7)+(Assumptions!$C$9-Assumptions!$C$11+0.3^2/2)*Assumptions!$C$10)/(0.3*SQRT(Assumptions!$C$10)))-0.3*SQRT(Assumptions!$C$10)))-1750*EXP(-Assumptions!$C$11*Assumptions!$C$10)*NORMSDIST(-((LN(1750/Assumptions!$C$7)+(Assumptions!$C$9-Assumptions!$C$11+0.3^2/2)*Assumptions!$C$10)/(0.3*SQRT(Assumptions!$C$10))))</f>
        <v>715.255178923412</v>
      </c>
      <c r="H41" s="89" t="n">
        <f aca="false">Assumptions!$C$7*EXP(-Assumptions!$C$9*Assumptions!$C$10)*NORMSDIST(-(((LN(1750/Assumptions!$C$7)+(Assumptions!$C$9-Assumptions!$C$11+0.35^2/2)*Assumptions!$C$10)/(0.35*SQRT(Assumptions!$C$10)))-0.35*SQRT(Assumptions!$C$10)))-1750*EXP(-Assumptions!$C$11*Assumptions!$C$10)*NORMSDIST(-((LN(1750/Assumptions!$C$7)+(Assumptions!$C$9-Assumptions!$C$11+0.35^2/2)*Assumptions!$C$10)/(0.35*SQRT(Assumptions!$C$10))))</f>
        <v>717.491476840839</v>
      </c>
      <c r="I41" s="89" t="n">
        <f aca="false">Assumptions!$C$7*EXP(-Assumptions!$C$9*Assumptions!$C$10)*NORMSDIST(-(((LN(1750/Assumptions!$C$7)+(Assumptions!$C$9-Assumptions!$C$11+0.4^2/2)*Assumptions!$C$10)/(0.4*SQRT(Assumptions!$C$10)))-0.4*SQRT(Assumptions!$C$10)))-1750*EXP(-Assumptions!$C$11*Assumptions!$C$10)*NORMSDIST(-((LN(1750/Assumptions!$C$7)+(Assumptions!$C$9-Assumptions!$C$11+0.4^2/2)*Assumptions!$C$10)/(0.4*SQRT(Assumptions!$C$10))))</f>
        <v>721.358335020378</v>
      </c>
      <c r="J41" s="89" t="n">
        <f aca="false">Assumptions!$C$7*EXP(-Assumptions!$C$9*Assumptions!$C$10)*NORMSDIST(-(((LN(1750/Assumptions!$C$7)+(Assumptions!$C$9-Assumptions!$C$11+0.45^2/2)*Assumptions!$C$10)/(0.45*SQRT(Assumptions!$C$10)))-0.45*SQRT(Assumptions!$C$10)))-1750*EXP(-Assumptions!$C$11*Assumptions!$C$10)*NORMSDIST(-((LN(1750/Assumptions!$C$7)+(Assumptions!$C$9-Assumptions!$C$11+0.45^2/2)*Assumptions!$C$10)/(0.45*SQRT(Assumptions!$C$10))))</f>
        <v>726.943569097608</v>
      </c>
      <c r="K41" s="89" t="n">
        <f aca="false">Assumptions!$C$7*EXP(-Assumptions!$C$9*Assumptions!$C$10)*NORMSDIST(-(((LN(1750/Assumptions!$C$7)+(Assumptions!$C$9-Assumptions!$C$11+0.5^2/2)*Assumptions!$C$10)/(0.5*SQRT(Assumptions!$C$10)))-0.5*SQRT(Assumptions!$C$10)))-1750*EXP(-Assumptions!$C$11*Assumptions!$C$10)*NORMSDIST(-((LN(1750/Assumptions!$C$7)+(Assumptions!$C$9-Assumptions!$C$11+0.5^2/2)*Assumptions!$C$10)/(0.5*SQRT(Assumptions!$C$10))))</f>
        <v>734.172837995122</v>
      </c>
    </row>
    <row r="42" customFormat="false" ht="15.75" hidden="false" customHeight="true" outlineLevel="0" collapsed="false">
      <c r="B42" s="90" t="n">
        <v>1800</v>
      </c>
      <c r="C42" s="91" t="n">
        <f aca="false">Assumptions!$C$7*EXP(-Assumptions!$C$9*Assumptions!$C$10)*NORMSDIST(-(((LN(1800/Assumptions!$C$7)+(Assumptions!$C$9-Assumptions!$C$11+0.1^2/2)*Assumptions!$C$10)/(0.1*SQRT(Assumptions!$C$10)))-0.1*SQRT(Assumptions!$C$10)))-1800*EXP(-Assumptions!$C$11*Assumptions!$C$10)*NORMSDIST(-((LN(1800/Assumptions!$C$7)+(Assumptions!$C$9-Assumptions!$C$11+0.1^2/2)*Assumptions!$C$10)/(0.1*SQRT(Assumptions!$C$10))))</f>
        <v>664.197677128738</v>
      </c>
      <c r="D42" s="91" t="n">
        <f aca="false">Assumptions!$C$7*EXP(-Assumptions!$C$9*Assumptions!$C$10)*NORMSDIST(-(((LN(1800/Assumptions!$C$7)+(Assumptions!$C$9-Assumptions!$C$11+0.15^2/2)*Assumptions!$C$10)/(0.15*SQRT(Assumptions!$C$10)))-0.15*SQRT(Assumptions!$C$10)))-1800*EXP(-Assumptions!$C$11*Assumptions!$C$10)*NORMSDIST(-((LN(1800/Assumptions!$C$7)+(Assumptions!$C$9-Assumptions!$C$11+0.15^2/2)*Assumptions!$C$10)/(0.15*SQRT(Assumptions!$C$10))))</f>
        <v>664.19813942713</v>
      </c>
      <c r="E42" s="91" t="n">
        <f aca="false">Assumptions!$C$7*EXP(-Assumptions!$C$9*Assumptions!$C$10)*NORMSDIST(-(((LN(1800/Assumptions!$C$7)+(Assumptions!$C$9-Assumptions!$C$11+0.2^2/2)*Assumptions!$C$10)/(0.2*SQRT(Assumptions!$C$10)))-0.2*SQRT(Assumptions!$C$10)))-1800*EXP(-Assumptions!$C$11*Assumptions!$C$10)*NORMSDIST(-((LN(1800/Assumptions!$C$7)+(Assumptions!$C$9-Assumptions!$C$11+0.2^2/2)*Assumptions!$C$10)/(0.2*SQRT(Assumptions!$C$10))))</f>
        <v>664.244860460385</v>
      </c>
      <c r="F42" s="91" t="n">
        <f aca="false">Assumptions!$C$7*EXP(-Assumptions!$C$9*Assumptions!$C$10)*NORMSDIST(-(((LN(1800/Assumptions!$C$7)+(Assumptions!$C$9-Assumptions!$C$11+0.25^2/2)*Assumptions!$C$10)/(0.25*SQRT(Assumptions!$C$10)))-0.25*SQRT(Assumptions!$C$10)))-1800*EXP(-Assumptions!$C$11*Assumptions!$C$10)*NORMSDIST(-((LN(1800/Assumptions!$C$7)+(Assumptions!$C$9-Assumptions!$C$11+0.25^2/2)*Assumptions!$C$10)/(0.25*SQRT(Assumptions!$C$10))))</f>
        <v>664.694658212858</v>
      </c>
      <c r="G42" s="91" t="n">
        <f aca="false">Assumptions!$C$7*EXP(-Assumptions!$C$9*Assumptions!$C$10)*NORMSDIST(-(((LN(1800/Assumptions!$C$7)+(Assumptions!$C$9-Assumptions!$C$11+0.3^2/2)*Assumptions!$C$10)/(0.3*SQRT(Assumptions!$C$10)))-0.3*SQRT(Assumptions!$C$10)))-1800*EXP(-Assumptions!$C$11*Assumptions!$C$10)*NORMSDIST(-((LN(1800/Assumptions!$C$7)+(Assumptions!$C$9-Assumptions!$C$11+0.3^2/2)*Assumptions!$C$10)/(0.3*SQRT(Assumptions!$C$10))))</f>
        <v>666.241344942523</v>
      </c>
      <c r="H42" s="91" t="n">
        <f aca="false">Assumptions!$C$7*EXP(-Assumptions!$C$9*Assumptions!$C$10)*NORMSDIST(-(((LN(1800/Assumptions!$C$7)+(Assumptions!$C$9-Assumptions!$C$11+0.35^2/2)*Assumptions!$C$10)/(0.35*SQRT(Assumptions!$C$10)))-0.35*SQRT(Assumptions!$C$10)))-1800*EXP(-Assumptions!$C$11*Assumptions!$C$10)*NORMSDIST(-((LN(1800/Assumptions!$C$7)+(Assumptions!$C$9-Assumptions!$C$11+0.35^2/2)*Assumptions!$C$10)/(0.35*SQRT(Assumptions!$C$10))))</f>
        <v>669.450993260759</v>
      </c>
      <c r="I42" s="91" t="n">
        <f aca="false">Assumptions!$C$7*EXP(-Assumptions!$C$9*Assumptions!$C$10)*NORMSDIST(-(((LN(1800/Assumptions!$C$7)+(Assumptions!$C$9-Assumptions!$C$11+0.4^2/2)*Assumptions!$C$10)/(0.4*SQRT(Assumptions!$C$10)))-0.4*SQRT(Assumptions!$C$10)))-1800*EXP(-Assumptions!$C$11*Assumptions!$C$10)*NORMSDIST(-((LN(1800/Assumptions!$C$7)+(Assumptions!$C$9-Assumptions!$C$11+0.4^2/2)*Assumptions!$C$10)/(0.4*SQRT(Assumptions!$C$10))))</f>
        <v>674.548748837539</v>
      </c>
      <c r="J42" s="91" t="n">
        <f aca="false">Assumptions!$C$7*EXP(-Assumptions!$C$9*Assumptions!$C$10)*NORMSDIST(-(((LN(1800/Assumptions!$C$7)+(Assumptions!$C$9-Assumptions!$C$11+0.45^2/2)*Assumptions!$C$10)/(0.45*SQRT(Assumptions!$C$10)))-0.45*SQRT(Assumptions!$C$10)))-1800*EXP(-Assumptions!$C$11*Assumptions!$C$10)*NORMSDIST(-((LN(1800/Assumptions!$C$7)+(Assumptions!$C$9-Assumptions!$C$11+0.45^2/2)*Assumptions!$C$10)/(0.45*SQRT(Assumptions!$C$10))))</f>
        <v>681.500107302724</v>
      </c>
      <c r="K42" s="91" t="n">
        <f aca="false">Assumptions!$C$7*EXP(-Assumptions!$C$9*Assumptions!$C$10)*NORMSDIST(-(((LN(1800/Assumptions!$C$7)+(Assumptions!$C$9-Assumptions!$C$11+0.5^2/2)*Assumptions!$C$10)/(0.5*SQRT(Assumptions!$C$10)))-0.5*SQRT(Assumptions!$C$10)))-1800*EXP(-Assumptions!$C$11*Assumptions!$C$10)*NORMSDIST(-((LN(1800/Assumptions!$C$7)+(Assumptions!$C$9-Assumptions!$C$11+0.5^2/2)*Assumptions!$C$10)/(0.5*SQRT(Assumptions!$C$10))))</f>
        <v>690.139484406492</v>
      </c>
    </row>
    <row r="43" customFormat="false" ht="15.75" hidden="false" customHeight="true" outlineLevel="0" collapsed="false">
      <c r="B43" s="88" t="n">
        <v>1850</v>
      </c>
      <c r="C43" s="89" t="n">
        <f aca="false">Assumptions!$C$7*EXP(-Assumptions!$C$9*Assumptions!$C$10)*NORMSDIST(-(((LN(1850/Assumptions!$C$7)+(Assumptions!$C$9-Assumptions!$C$11+0.1^2/2)*Assumptions!$C$10)/(0.1*SQRT(Assumptions!$C$10)))-0.1*SQRT(Assumptions!$C$10)))-1850*EXP(-Assumptions!$C$11*Assumptions!$C$10)*NORMSDIST(-((LN(1850/Assumptions!$C$7)+(Assumptions!$C$9-Assumptions!$C$11+0.1^2/2)*Assumptions!$C$10)/(0.1*SQRT(Assumptions!$C$10))))</f>
        <v>614.322521086073</v>
      </c>
      <c r="D43" s="89" t="n">
        <f aca="false">Assumptions!$C$7*EXP(-Assumptions!$C$9*Assumptions!$C$10)*NORMSDIST(-(((LN(1850/Assumptions!$C$7)+(Assumptions!$C$9-Assumptions!$C$11+0.15^2/2)*Assumptions!$C$10)/(0.15*SQRT(Assumptions!$C$10)))-0.15*SQRT(Assumptions!$C$10)))-1850*EXP(-Assumptions!$C$11*Assumptions!$C$10)*NORMSDIST(-((LN(1850/Assumptions!$C$7)+(Assumptions!$C$9-Assumptions!$C$11+0.15^2/2)*Assumptions!$C$10)/(0.15*SQRT(Assumptions!$C$10))))</f>
        <v>614.324898890591</v>
      </c>
      <c r="E43" s="89" t="n">
        <f aca="false">Assumptions!$C$7*EXP(-Assumptions!$C$9*Assumptions!$C$10)*NORMSDIST(-(((LN(1850/Assumptions!$C$7)+(Assumptions!$C$9-Assumptions!$C$11+0.2^2/2)*Assumptions!$C$10)/(0.2*SQRT(Assumptions!$C$10)))-0.2*SQRT(Assumptions!$C$10)))-1850*EXP(-Assumptions!$C$11*Assumptions!$C$10)*NORMSDIST(-((LN(1850/Assumptions!$C$7)+(Assumptions!$C$9-Assumptions!$C$11+0.2^2/2)*Assumptions!$C$10)/(0.2*SQRT(Assumptions!$C$10))))</f>
        <v>614.448758894314</v>
      </c>
      <c r="F43" s="89" t="n">
        <f aca="false">Assumptions!$C$7*EXP(-Assumptions!$C$9*Assumptions!$C$10)*NORMSDIST(-(((LN(1850/Assumptions!$C$7)+(Assumptions!$C$9-Assumptions!$C$11+0.25^2/2)*Assumptions!$C$10)/(0.25*SQRT(Assumptions!$C$10)))-0.25*SQRT(Assumptions!$C$10)))-1850*EXP(-Assumptions!$C$11*Assumptions!$C$10)*NORMSDIST(-((LN(1850/Assumptions!$C$7)+(Assumptions!$C$9-Assumptions!$C$11+0.25^2/2)*Assumptions!$C$10)/(0.25*SQRT(Assumptions!$C$10))))</f>
        <v>615.299412171105</v>
      </c>
      <c r="G43" s="89" t="n">
        <f aca="false">Assumptions!$C$7*EXP(-Assumptions!$C$9*Assumptions!$C$10)*NORMSDIST(-(((LN(1850/Assumptions!$C$7)+(Assumptions!$C$9-Assumptions!$C$11+0.3^2/2)*Assumptions!$C$10)/(0.3*SQRT(Assumptions!$C$10)))-0.3*SQRT(Assumptions!$C$10)))-1850*EXP(-Assumptions!$C$11*Assumptions!$C$10)*NORMSDIST(-((LN(1850/Assumptions!$C$7)+(Assumptions!$C$9-Assumptions!$C$11+0.3^2/2)*Assumptions!$C$10)/(0.3*SQRT(Assumptions!$C$10))))</f>
        <v>617.706307574531</v>
      </c>
      <c r="H43" s="89" t="n">
        <f aca="false">Assumptions!$C$7*EXP(-Assumptions!$C$9*Assumptions!$C$10)*NORMSDIST(-(((LN(1850/Assumptions!$C$7)+(Assumptions!$C$9-Assumptions!$C$11+0.35^2/2)*Assumptions!$C$10)/(0.35*SQRT(Assumptions!$C$10)))-0.35*SQRT(Assumptions!$C$10)))-1850*EXP(-Assumptions!$C$11*Assumptions!$C$10)*NORMSDIST(-((LN(1850/Assumptions!$C$7)+(Assumptions!$C$9-Assumptions!$C$11+0.35^2/2)*Assumptions!$C$10)/(0.35*SQRT(Assumptions!$C$10))))</f>
        <v>622.142778672591</v>
      </c>
      <c r="I43" s="89" t="n">
        <f aca="false">Assumptions!$C$7*EXP(-Assumptions!$C$9*Assumptions!$C$10)*NORMSDIST(-(((LN(1850/Assumptions!$C$7)+(Assumptions!$C$9-Assumptions!$C$11+0.4^2/2)*Assumptions!$C$10)/(0.4*SQRT(Assumptions!$C$10)))-0.4*SQRT(Assumptions!$C$10)))-1850*EXP(-Assumptions!$C$11*Assumptions!$C$10)*NORMSDIST(-((LN(1850/Assumptions!$C$7)+(Assumptions!$C$9-Assumptions!$C$11+0.4^2/2)*Assumptions!$C$10)/(0.4*SQRT(Assumptions!$C$10))))</f>
        <v>628.672576205061</v>
      </c>
      <c r="J43" s="89" t="n">
        <f aca="false">Assumptions!$C$7*EXP(-Assumptions!$C$9*Assumptions!$C$10)*NORMSDIST(-(((LN(1850/Assumptions!$C$7)+(Assumptions!$C$9-Assumptions!$C$11+0.45^2/2)*Assumptions!$C$10)/(0.45*SQRT(Assumptions!$C$10)))-0.45*SQRT(Assumptions!$C$10)))-1850*EXP(-Assumptions!$C$11*Assumptions!$C$10)*NORMSDIST(-((LN(1850/Assumptions!$C$7)+(Assumptions!$C$9-Assumptions!$C$11+0.45^2/2)*Assumptions!$C$10)/(0.45*SQRT(Assumptions!$C$10))))</f>
        <v>637.130394800189</v>
      </c>
      <c r="K43" s="89" t="n">
        <f aca="false">Assumptions!$C$7*EXP(-Assumptions!$C$9*Assumptions!$C$10)*NORMSDIST(-(((LN(1850/Assumptions!$C$7)+(Assumptions!$C$9-Assumptions!$C$11+0.5^2/2)*Assumptions!$C$10)/(0.5*SQRT(Assumptions!$C$10)))-0.5*SQRT(Assumptions!$C$10)))-1850*EXP(-Assumptions!$C$11*Assumptions!$C$10)*NORMSDIST(-((LN(1850/Assumptions!$C$7)+(Assumptions!$C$9-Assumptions!$C$11+0.5^2/2)*Assumptions!$C$10)/(0.5*SQRT(Assumptions!$C$10))))</f>
        <v>647.26786265374</v>
      </c>
    </row>
    <row r="44" customFormat="false" ht="15.75" hidden="false" customHeight="true" outlineLevel="0" collapsed="false">
      <c r="B44" s="90" t="n">
        <v>1900</v>
      </c>
      <c r="C44" s="91" t="n">
        <f aca="false">Assumptions!$C$7*EXP(-Assumptions!$C$9*Assumptions!$C$10)*NORMSDIST(-(((LN(1900/Assumptions!$C$7)+(Assumptions!$C$9-Assumptions!$C$11+0.1^2/2)*Assumptions!$C$10)/(0.1*SQRT(Assumptions!$C$10)))-0.1*SQRT(Assumptions!$C$10)))-1900*EXP(-Assumptions!$C$11*Assumptions!$C$10)*NORMSDIST(-((LN(1900/Assumptions!$C$7)+(Assumptions!$C$9-Assumptions!$C$11+0.1^2/2)*Assumptions!$C$10)/(0.1*SQRT(Assumptions!$C$10))))</f>
        <v>564.447366681746</v>
      </c>
      <c r="D44" s="91" t="n">
        <f aca="false">Assumptions!$C$7*EXP(-Assumptions!$C$9*Assumptions!$C$10)*NORMSDIST(-(((LN(1900/Assumptions!$C$7)+(Assumptions!$C$9-Assumptions!$C$11+0.15^2/2)*Assumptions!$C$10)/(0.15*SQRT(Assumptions!$C$10)))-0.15*SQRT(Assumptions!$C$10)))-1900*EXP(-Assumptions!$C$11*Assumptions!$C$10)*NORMSDIST(-((LN(1900/Assumptions!$C$7)+(Assumptions!$C$9-Assumptions!$C$11+0.15^2/2)*Assumptions!$C$10)/(0.15*SQRT(Assumptions!$C$10))))</f>
        <v>564.457781565419</v>
      </c>
      <c r="E44" s="91" t="n">
        <f aca="false">Assumptions!$C$7*EXP(-Assumptions!$C$9*Assumptions!$C$10)*NORMSDIST(-(((LN(1900/Assumptions!$C$7)+(Assumptions!$C$9-Assumptions!$C$11+0.2^2/2)*Assumptions!$C$10)/(0.2*SQRT(Assumptions!$C$10)))-0.2*SQRT(Assumptions!$C$10)))-1900*EXP(-Assumptions!$C$11*Assumptions!$C$10)*NORMSDIST(-((LN(1900/Assumptions!$C$7)+(Assumptions!$C$9-Assumptions!$C$11+0.2^2/2)*Assumptions!$C$10)/(0.2*SQRT(Assumptions!$C$10))))</f>
        <v>564.756264930472</v>
      </c>
      <c r="F44" s="91" t="n">
        <f aca="false">Assumptions!$C$7*EXP(-Assumptions!$C$9*Assumptions!$C$10)*NORMSDIST(-(((LN(1900/Assumptions!$C$7)+(Assumptions!$C$9-Assumptions!$C$11+0.25^2/2)*Assumptions!$C$10)/(0.25*SQRT(Assumptions!$C$10)))-0.25*SQRT(Assumptions!$C$10)))-1900*EXP(-Assumptions!$C$11*Assumptions!$C$10)*NORMSDIST(-((LN(1900/Assumptions!$C$7)+(Assumptions!$C$9-Assumptions!$C$11+0.25^2/2)*Assumptions!$C$10)/(0.25*SQRT(Assumptions!$C$10))))</f>
        <v>566.261469629307</v>
      </c>
      <c r="G44" s="91" t="n">
        <f aca="false">Assumptions!$C$7*EXP(-Assumptions!$C$9*Assumptions!$C$10)*NORMSDIST(-(((LN(1900/Assumptions!$C$7)+(Assumptions!$C$9-Assumptions!$C$11+0.3^2/2)*Assumptions!$C$10)/(0.3*SQRT(Assumptions!$C$10)))-0.3*SQRT(Assumptions!$C$10)))-1900*EXP(-Assumptions!$C$11*Assumptions!$C$10)*NORMSDIST(-((LN(1900/Assumptions!$C$7)+(Assumptions!$C$9-Assumptions!$C$11+0.3^2/2)*Assumptions!$C$10)/(0.3*SQRT(Assumptions!$C$10))))</f>
        <v>569.832941786087</v>
      </c>
      <c r="H44" s="91" t="n">
        <f aca="false">Assumptions!$C$7*EXP(-Assumptions!$C$9*Assumptions!$C$10)*NORMSDIST(-(((LN(1900/Assumptions!$C$7)+(Assumptions!$C$9-Assumptions!$C$11+0.35^2/2)*Assumptions!$C$10)/(0.35*SQRT(Assumptions!$C$10)))-0.35*SQRT(Assumptions!$C$10)))-1900*EXP(-Assumptions!$C$11*Assumptions!$C$10)*NORMSDIST(-((LN(1900/Assumptions!$C$7)+(Assumptions!$C$9-Assumptions!$C$11+0.35^2/2)*Assumptions!$C$10)/(0.35*SQRT(Assumptions!$C$10))))</f>
        <v>575.75368755308</v>
      </c>
      <c r="I44" s="91" t="n">
        <f aca="false">Assumptions!$C$7*EXP(-Assumptions!$C$9*Assumptions!$C$10)*NORMSDIST(-(((LN(1900/Assumptions!$C$7)+(Assumptions!$C$9-Assumptions!$C$11+0.4^2/2)*Assumptions!$C$10)/(0.4*SQRT(Assumptions!$C$10)))-0.4*SQRT(Assumptions!$C$10)))-1900*EXP(-Assumptions!$C$11*Assumptions!$C$10)*NORMSDIST(-((LN(1900/Assumptions!$C$7)+(Assumptions!$C$9-Assumptions!$C$11+0.4^2/2)*Assumptions!$C$10)/(0.4*SQRT(Assumptions!$C$10))))</f>
        <v>583.896852581461</v>
      </c>
      <c r="J44" s="91" t="n">
        <f aca="false">Assumptions!$C$7*EXP(-Assumptions!$C$9*Assumptions!$C$10)*NORMSDIST(-(((LN(1900/Assumptions!$C$7)+(Assumptions!$C$9-Assumptions!$C$11+0.45^2/2)*Assumptions!$C$10)/(0.45*SQRT(Assumptions!$C$10)))-0.45*SQRT(Assumptions!$C$10)))-1900*EXP(-Assumptions!$C$11*Assumptions!$C$10)*NORMSDIST(-((LN(1900/Assumptions!$C$7)+(Assumptions!$C$9-Assumptions!$C$11+0.45^2/2)*Assumptions!$C$10)/(0.45*SQRT(Assumptions!$C$10))))</f>
        <v>593.97325109202</v>
      </c>
      <c r="K44" s="91" t="n">
        <f aca="false">Assumptions!$C$7*EXP(-Assumptions!$C$9*Assumptions!$C$10)*NORMSDIST(-(((LN(1900/Assumptions!$C$7)+(Assumptions!$C$9-Assumptions!$C$11+0.5^2/2)*Assumptions!$C$10)/(0.5*SQRT(Assumptions!$C$10)))-0.5*SQRT(Assumptions!$C$10)))-1900*EXP(-Assumptions!$C$11*Assumptions!$C$10)*NORMSDIST(-((LN(1900/Assumptions!$C$7)+(Assumptions!$C$9-Assumptions!$C$11+0.5^2/2)*Assumptions!$C$10)/(0.5*SQRT(Assumptions!$C$10))))</f>
        <v>605.668335247288</v>
      </c>
    </row>
    <row r="45" customFormat="false" ht="15.75" hidden="false" customHeight="true" outlineLevel="0" collapsed="false">
      <c r="B45" s="88" t="n">
        <v>1950</v>
      </c>
      <c r="C45" s="89" t="n">
        <f aca="false">Assumptions!$C$7*EXP(-Assumptions!$C$9*Assumptions!$C$10)*NORMSDIST(-(((LN(1950/Assumptions!$C$7)+(Assumptions!$C$9-Assumptions!$C$11+0.1^2/2)*Assumptions!$C$10)/(0.1*SQRT(Assumptions!$C$10)))-0.1*SQRT(Assumptions!$C$10)))-1950*EXP(-Assumptions!$C$11*Assumptions!$C$10)*NORMSDIST(-((LN(1950/Assumptions!$C$7)+(Assumptions!$C$9-Assumptions!$C$11+0.1^2/2)*Assumptions!$C$10)/(0.1*SQRT(Assumptions!$C$10))))</f>
        <v>514.572237592498</v>
      </c>
      <c r="D45" s="89" t="n">
        <f aca="false">Assumptions!$C$7*EXP(-Assumptions!$C$9*Assumptions!$C$10)*NORMSDIST(-(((LN(1950/Assumptions!$C$7)+(Assumptions!$C$9-Assumptions!$C$11+0.15^2/2)*Assumptions!$C$10)/(0.15*SQRT(Assumptions!$C$10)))-0.15*SQRT(Assumptions!$C$10)))-1950*EXP(-Assumptions!$C$11*Assumptions!$C$10)*NORMSDIST(-((LN(1950/Assumptions!$C$7)+(Assumptions!$C$9-Assumptions!$C$11+0.15^2/2)*Assumptions!$C$10)/(0.15*SQRT(Assumptions!$C$10))))</f>
        <v>514.611572610002</v>
      </c>
      <c r="E45" s="89" t="n">
        <f aca="false">Assumptions!$C$7*EXP(-Assumptions!$C$9*Assumptions!$C$10)*NORMSDIST(-(((LN(1950/Assumptions!$C$7)+(Assumptions!$C$9-Assumptions!$C$11+0.2^2/2)*Assumptions!$C$10)/(0.2*SQRT(Assumptions!$C$10)))-0.2*SQRT(Assumptions!$C$10)))-1950*EXP(-Assumptions!$C$11*Assumptions!$C$10)*NORMSDIST(-((LN(1950/Assumptions!$C$7)+(Assumptions!$C$9-Assumptions!$C$11+0.2^2/2)*Assumptions!$C$10)/(0.2*SQRT(Assumptions!$C$10))))</f>
        <v>515.268525425002</v>
      </c>
      <c r="F45" s="89" t="n">
        <f aca="false">Assumptions!$C$7*EXP(-Assumptions!$C$9*Assumptions!$C$10)*NORMSDIST(-(((LN(1950/Assumptions!$C$7)+(Assumptions!$C$9-Assumptions!$C$11+0.25^2/2)*Assumptions!$C$10)/(0.25*SQRT(Assumptions!$C$10)))-0.25*SQRT(Assumptions!$C$10)))-1950*EXP(-Assumptions!$C$11*Assumptions!$C$10)*NORMSDIST(-((LN(1950/Assumptions!$C$7)+(Assumptions!$C$9-Assumptions!$C$11+0.25^2/2)*Assumptions!$C$10)/(0.25*SQRT(Assumptions!$C$10))))</f>
        <v>517.769520021494</v>
      </c>
      <c r="G45" s="89" t="n">
        <f aca="false">Assumptions!$C$7*EXP(-Assumptions!$C$9*Assumptions!$C$10)*NORMSDIST(-(((LN(1950/Assumptions!$C$7)+(Assumptions!$C$9-Assumptions!$C$11+0.3^2/2)*Assumptions!$C$10)/(0.3*SQRT(Assumptions!$C$10)))-0.3*SQRT(Assumptions!$C$10)))-1950*EXP(-Assumptions!$C$11*Assumptions!$C$10)*NORMSDIST(-((LN(1950/Assumptions!$C$7)+(Assumptions!$C$9-Assumptions!$C$11+0.3^2/2)*Assumptions!$C$10)/(0.3*SQRT(Assumptions!$C$10))))</f>
        <v>522.837837111557</v>
      </c>
      <c r="H45" s="89" t="n">
        <f aca="false">Assumptions!$C$7*EXP(-Assumptions!$C$9*Assumptions!$C$10)*NORMSDIST(-(((LN(1950/Assumptions!$C$7)+(Assumptions!$C$9-Assumptions!$C$11+0.35^2/2)*Assumptions!$C$10)/(0.35*SQRT(Assumptions!$C$10)))-0.35*SQRT(Assumptions!$C$10)))-1950*EXP(-Assumptions!$C$11*Assumptions!$C$10)*NORMSDIST(-((LN(1950/Assumptions!$C$7)+(Assumptions!$C$9-Assumptions!$C$11+0.35^2/2)*Assumptions!$C$10)/(0.35*SQRT(Assumptions!$C$10))))</f>
        <v>530.484806895248</v>
      </c>
      <c r="I45" s="89" t="n">
        <f aca="false">Assumptions!$C$7*EXP(-Assumptions!$C$9*Assumptions!$C$10)*NORMSDIST(-(((LN(1950/Assumptions!$C$7)+(Assumptions!$C$9-Assumptions!$C$11+0.4^2/2)*Assumptions!$C$10)/(0.4*SQRT(Assumptions!$C$10)))-0.4*SQRT(Assumptions!$C$10)))-1950*EXP(-Assumptions!$C$11*Assumptions!$C$10)*NORMSDIST(-((LN(1950/Assumptions!$C$7)+(Assumptions!$C$9-Assumptions!$C$11+0.4^2/2)*Assumptions!$C$10)/(0.4*SQRT(Assumptions!$C$10))))</f>
        <v>540.389876049119</v>
      </c>
      <c r="J45" s="89" t="n">
        <f aca="false">Assumptions!$C$7*EXP(-Assumptions!$C$9*Assumptions!$C$10)*NORMSDIST(-(((LN(1950/Assumptions!$C$7)+(Assumptions!$C$9-Assumptions!$C$11+0.45^2/2)*Assumptions!$C$10)/(0.45*SQRT(Assumptions!$C$10)))-0.45*SQRT(Assumptions!$C$10)))-1950*EXP(-Assumptions!$C$11*Assumptions!$C$10)*NORMSDIST(-((LN(1950/Assumptions!$C$7)+(Assumptions!$C$9-Assumptions!$C$11+0.45^2/2)*Assumptions!$C$10)/(0.45*SQRT(Assumptions!$C$10))))</f>
        <v>552.161789133307</v>
      </c>
      <c r="K45" s="89" t="n">
        <f aca="false">Assumptions!$C$7*EXP(-Assumptions!$C$9*Assumptions!$C$10)*NORMSDIST(-(((LN(1950/Assumptions!$C$7)+(Assumptions!$C$9-Assumptions!$C$11+0.5^2/2)*Assumptions!$C$10)/(0.5*SQRT(Assumptions!$C$10)))-0.5*SQRT(Assumptions!$C$10)))-1950*EXP(-Assumptions!$C$11*Assumptions!$C$10)*NORMSDIST(-((LN(1950/Assumptions!$C$7)+(Assumptions!$C$9-Assumptions!$C$11+0.5^2/2)*Assumptions!$C$10)/(0.5*SQRT(Assumptions!$C$10))))</f>
        <v>565.442493558112</v>
      </c>
    </row>
    <row r="46" customFormat="false" ht="15.75" hidden="false" customHeight="true" outlineLevel="0" collapsed="false">
      <c r="B46" s="90" t="n">
        <v>2000</v>
      </c>
      <c r="C46" s="91" t="n">
        <f aca="false">Assumptions!$C$7*EXP(-Assumptions!$C$9*Assumptions!$C$10)*NORMSDIST(-(((LN(2000/Assumptions!$C$7)+(Assumptions!$C$9-Assumptions!$C$11+0.1^2/2)*Assumptions!$C$10)/(0.1*SQRT(Assumptions!$C$10)))-0.1*SQRT(Assumptions!$C$10)))-2000*EXP(-Assumptions!$C$11*Assumptions!$C$10)*NORMSDIST(-((LN(2000/Assumptions!$C$7)+(Assumptions!$C$9-Assumptions!$C$11+0.1^2/2)*Assumptions!$C$10)/(0.1*SQRT(Assumptions!$C$10))))</f>
        <v>464.697391166036</v>
      </c>
      <c r="D46" s="91" t="n">
        <f aca="false">Assumptions!$C$7*EXP(-Assumptions!$C$9*Assumptions!$C$10)*NORMSDIST(-(((LN(2000/Assumptions!$C$7)+(Assumptions!$C$9-Assumptions!$C$11+0.15^2/2)*Assumptions!$C$10)/(0.15*SQRT(Assumptions!$C$10)))-0.15*SQRT(Assumptions!$C$10)))-2000*EXP(-Assumptions!$C$11*Assumptions!$C$10)*NORMSDIST(-((LN(2000/Assumptions!$C$7)+(Assumptions!$C$9-Assumptions!$C$11+0.15^2/2)*Assumptions!$C$10)/(0.15*SQRT(Assumptions!$C$10))))</f>
        <v>464.826897753445</v>
      </c>
      <c r="E46" s="91" t="n">
        <f aca="false">Assumptions!$C$7*EXP(-Assumptions!$C$9*Assumptions!$C$10)*NORMSDIST(-(((LN(2000/Assumptions!$C$7)+(Assumptions!$C$9-Assumptions!$C$11+0.2^2/2)*Assumptions!$C$10)/(0.2*SQRT(Assumptions!$C$10)))-0.2*SQRT(Assumptions!$C$10)))-2000*EXP(-Assumptions!$C$11*Assumptions!$C$10)*NORMSDIST(-((LN(2000/Assumptions!$C$7)+(Assumptions!$C$9-Assumptions!$C$11+0.2^2/2)*Assumptions!$C$10)/(0.2*SQRT(Assumptions!$C$10))))</f>
        <v>466.152645195852</v>
      </c>
      <c r="F46" s="91" t="n">
        <f aca="false">Assumptions!$C$7*EXP(-Assumptions!$C$9*Assumptions!$C$10)*NORMSDIST(-(((LN(2000/Assumptions!$C$7)+(Assumptions!$C$9-Assumptions!$C$11+0.25^2/2)*Assumptions!$C$10)/(0.25*SQRT(Assumptions!$C$10)))-0.25*SQRT(Assumptions!$C$10)))-2000*EXP(-Assumptions!$C$11*Assumptions!$C$10)*NORMSDIST(-((LN(2000/Assumptions!$C$7)+(Assumptions!$C$9-Assumptions!$C$11+0.25^2/2)*Assumptions!$C$10)/(0.25*SQRT(Assumptions!$C$10))))</f>
        <v>470.067929275202</v>
      </c>
      <c r="G46" s="91" t="n">
        <f aca="false">Assumptions!$C$7*EXP(-Assumptions!$C$9*Assumptions!$C$10)*NORMSDIST(-(((LN(2000/Assumptions!$C$7)+(Assumptions!$C$9-Assumptions!$C$11+0.3^2/2)*Assumptions!$C$10)/(0.3*SQRT(Assumptions!$C$10)))-0.3*SQRT(Assumptions!$C$10)))-2000*EXP(-Assumptions!$C$11*Assumptions!$C$10)*NORMSDIST(-((LN(2000/Assumptions!$C$7)+(Assumptions!$C$9-Assumptions!$C$11+0.3^2/2)*Assumptions!$C$10)/(0.3*SQRT(Assumptions!$C$10))))</f>
        <v>476.965632797683</v>
      </c>
      <c r="H46" s="91" t="n">
        <f aca="false">Assumptions!$C$7*EXP(-Assumptions!$C$9*Assumptions!$C$10)*NORMSDIST(-(((LN(2000/Assumptions!$C$7)+(Assumptions!$C$9-Assumptions!$C$11+0.35^2/2)*Assumptions!$C$10)/(0.35*SQRT(Assumptions!$C$10)))-0.35*SQRT(Assumptions!$C$10)))-2000*EXP(-Assumptions!$C$11*Assumptions!$C$10)*NORMSDIST(-((LN(2000/Assumptions!$C$7)+(Assumptions!$C$9-Assumptions!$C$11+0.35^2/2)*Assumptions!$C$10)/(0.35*SQRT(Assumptions!$C$10))))</f>
        <v>486.544432041074</v>
      </c>
      <c r="I46" s="91" t="n">
        <f aca="false">Assumptions!$C$7*EXP(-Assumptions!$C$9*Assumptions!$C$10)*NORMSDIST(-(((LN(2000/Assumptions!$C$7)+(Assumptions!$C$9-Assumptions!$C$11+0.4^2/2)*Assumptions!$C$10)/(0.4*SQRT(Assumptions!$C$10)))-0.4*SQRT(Assumptions!$C$10)))-2000*EXP(-Assumptions!$C$11*Assumptions!$C$10)*NORMSDIST(-((LN(2000/Assumptions!$C$7)+(Assumptions!$C$9-Assumptions!$C$11+0.4^2/2)*Assumptions!$C$10)/(0.4*SQRT(Assumptions!$C$10))))</f>
        <v>498.315706714412</v>
      </c>
      <c r="J46" s="91" t="n">
        <f aca="false">Assumptions!$C$7*EXP(-Assumptions!$C$9*Assumptions!$C$10)*NORMSDIST(-(((LN(2000/Assumptions!$C$7)+(Assumptions!$C$9-Assumptions!$C$11+0.45^2/2)*Assumptions!$C$10)/(0.45*SQRT(Assumptions!$C$10)))-0.45*SQRT(Assumptions!$C$10)))-2000*EXP(-Assumptions!$C$11*Assumptions!$C$10)*NORMSDIST(-((LN(2000/Assumptions!$C$7)+(Assumptions!$C$9-Assumptions!$C$11+0.45^2/2)*Assumptions!$C$10)/(0.45*SQRT(Assumptions!$C$10))))</f>
        <v>511.819791404104</v>
      </c>
      <c r="K46" s="91" t="n">
        <f aca="false">Assumptions!$C$7*EXP(-Assumptions!$C$9*Assumptions!$C$10)*NORMSDIST(-(((LN(2000/Assumptions!$C$7)+(Assumptions!$C$9-Assumptions!$C$11+0.5^2/2)*Assumptions!$C$10)/(0.5*SQRT(Assumptions!$C$10)))-0.5*SQRT(Assumptions!$C$10)))-2000*EXP(-Assumptions!$C$11*Assumptions!$C$10)*NORMSDIST(-((LN(2000/Assumptions!$C$7)+(Assumptions!$C$9-Assumptions!$C$11+0.5^2/2)*Assumptions!$C$10)/(0.5*SQRT(Assumptions!$C$10))))</f>
        <v>526.681020443564</v>
      </c>
    </row>
    <row r="47" customFormat="false" ht="15.75" hidden="false" customHeight="true" outlineLevel="0" collapsed="false">
      <c r="B47" s="88" t="n">
        <v>2050</v>
      </c>
      <c r="C47" s="89" t="n">
        <f aca="false">Assumptions!$C$7*EXP(-Assumptions!$C$9*Assumptions!$C$10)*NORMSDIST(-(((LN(2050/Assumptions!$C$7)+(Assumptions!$C$9-Assumptions!$C$11+0.1^2/2)*Assumptions!$C$10)/(0.1*SQRT(Assumptions!$C$10)))-0.1*SQRT(Assumptions!$C$10)))-2050*EXP(-Assumptions!$C$11*Assumptions!$C$10)*NORMSDIST(-((LN(2050/Assumptions!$C$7)+(Assumptions!$C$9-Assumptions!$C$11+0.1^2/2)*Assumptions!$C$10)/(0.1*SQRT(Assumptions!$C$10))))</f>
        <v>414.82487555936</v>
      </c>
      <c r="D47" s="89" t="n">
        <f aca="false">Assumptions!$C$7*EXP(-Assumptions!$C$9*Assumptions!$C$10)*NORMSDIST(-(((LN(2050/Assumptions!$C$7)+(Assumptions!$C$9-Assumptions!$C$11+0.15^2/2)*Assumptions!$C$10)/(0.15*SQRT(Assumptions!$C$10)))-0.15*SQRT(Assumptions!$C$10)))-2050*EXP(-Assumptions!$C$11*Assumptions!$C$10)*NORMSDIST(-((LN(2050/Assumptions!$C$7)+(Assumptions!$C$9-Assumptions!$C$11+0.15^2/2)*Assumptions!$C$10)/(0.15*SQRT(Assumptions!$C$10))))</f>
        <v>415.199879977402</v>
      </c>
      <c r="E47" s="89" t="n">
        <f aca="false">Assumptions!$C$7*EXP(-Assumptions!$C$9*Assumptions!$C$10)*NORMSDIST(-(((LN(2050/Assumptions!$C$7)+(Assumptions!$C$9-Assumptions!$C$11+0.2^2/2)*Assumptions!$C$10)/(0.2*SQRT(Assumptions!$C$10)))-0.2*SQRT(Assumptions!$C$10)))-2050*EXP(-Assumptions!$C$11*Assumptions!$C$10)*NORMSDIST(-((LN(2050/Assumptions!$C$7)+(Assumptions!$C$9-Assumptions!$C$11+0.2^2/2)*Assumptions!$C$10)/(0.2*SQRT(Assumptions!$C$10))))</f>
        <v>417.660993257467</v>
      </c>
      <c r="F47" s="89" t="n">
        <f aca="false">Assumptions!$C$7*EXP(-Assumptions!$C$9*Assumptions!$C$10)*NORMSDIST(-(((LN(2050/Assumptions!$C$7)+(Assumptions!$C$9-Assumptions!$C$11+0.25^2/2)*Assumptions!$C$10)/(0.25*SQRT(Assumptions!$C$10)))-0.25*SQRT(Assumptions!$C$10)))-2050*EXP(-Assumptions!$C$11*Assumptions!$C$10)*NORMSDIST(-((LN(2050/Assumptions!$C$7)+(Assumptions!$C$9-Assumptions!$C$11+0.25^2/2)*Assumptions!$C$10)/(0.25*SQRT(Assumptions!$C$10))))</f>
        <v>423.45421547379</v>
      </c>
      <c r="G47" s="89" t="n">
        <f aca="false">Assumptions!$C$7*EXP(-Assumptions!$C$9*Assumptions!$C$10)*NORMSDIST(-(((LN(2050/Assumptions!$C$7)+(Assumptions!$C$9-Assumptions!$C$11+0.3^2/2)*Assumptions!$C$10)/(0.3*SQRT(Assumptions!$C$10)))-0.3*SQRT(Assumptions!$C$10)))-2050*EXP(-Assumptions!$C$11*Assumptions!$C$10)*NORMSDIST(-((LN(2050/Assumptions!$C$7)+(Assumptions!$C$9-Assumptions!$C$11+0.3^2/2)*Assumptions!$C$10)/(0.3*SQRT(Assumptions!$C$10))))</f>
        <v>432.479967036803</v>
      </c>
      <c r="H47" s="89" t="n">
        <f aca="false">Assumptions!$C$7*EXP(-Assumptions!$C$9*Assumptions!$C$10)*NORMSDIST(-(((LN(2050/Assumptions!$C$7)+(Assumptions!$C$9-Assumptions!$C$11+0.35^2/2)*Assumptions!$C$10)/(0.35*SQRT(Assumptions!$C$10)))-0.35*SQRT(Assumptions!$C$10)))-2050*EXP(-Assumptions!$C$11*Assumptions!$C$10)*NORMSDIST(-((LN(2050/Assumptions!$C$7)+(Assumptions!$C$9-Assumptions!$C$11+0.35^2/2)*Assumptions!$C$10)/(0.35*SQRT(Assumptions!$C$10))))</f>
        <v>444.140086958032</v>
      </c>
      <c r="I47" s="89" t="n">
        <f aca="false">Assumptions!$C$7*EXP(-Assumptions!$C$9*Assumptions!$C$10)*NORMSDIST(-(((LN(2050/Assumptions!$C$7)+(Assumptions!$C$9-Assumptions!$C$11+0.4^2/2)*Assumptions!$C$10)/(0.4*SQRT(Assumptions!$C$10)))-0.4*SQRT(Assumptions!$C$10)))-2050*EXP(-Assumptions!$C$11*Assumptions!$C$10)*NORMSDIST(-((LN(2050/Assumptions!$C$7)+(Assumptions!$C$9-Assumptions!$C$11+0.4^2/2)*Assumptions!$C$10)/(0.4*SQRT(Assumptions!$C$10))))</f>
        <v>457.828782484882</v>
      </c>
      <c r="J47" s="89" t="n">
        <f aca="false">Assumptions!$C$7*EXP(-Assumptions!$C$9*Assumptions!$C$10)*NORMSDIST(-(((LN(2050/Assumptions!$C$7)+(Assumptions!$C$9-Assumptions!$C$11+0.45^2/2)*Assumptions!$C$10)/(0.45*SQRT(Assumptions!$C$10)))-0.45*SQRT(Assumptions!$C$10)))-2050*EXP(-Assumptions!$C$11*Assumptions!$C$10)*NORMSDIST(-((LN(2050/Assumptions!$C$7)+(Assumptions!$C$9-Assumptions!$C$11+0.45^2/2)*Assumptions!$C$10)/(0.45*SQRT(Assumptions!$C$10))))</f>
        <v>473.058515618921</v>
      </c>
      <c r="K47" s="89" t="n">
        <f aca="false">Assumptions!$C$7*EXP(-Assumptions!$C$9*Assumptions!$C$10)*NORMSDIST(-(((LN(2050/Assumptions!$C$7)+(Assumptions!$C$9-Assumptions!$C$11+0.5^2/2)*Assumptions!$C$10)/(0.5*SQRT(Assumptions!$C$10)))-0.5*SQRT(Assumptions!$C$10)))-2050*EXP(-Assumptions!$C$11*Assumptions!$C$10)*NORMSDIST(-((LN(2050/Assumptions!$C$7)+(Assumptions!$C$9-Assumptions!$C$11+0.5^2/2)*Assumptions!$C$10)/(0.5*SQRT(Assumptions!$C$10))))</f>
        <v>489.461990403461</v>
      </c>
    </row>
    <row r="48" customFormat="false" ht="15.75" hidden="false" customHeight="true" outlineLevel="0" collapsed="false">
      <c r="B48" s="90" t="n">
        <v>2100</v>
      </c>
      <c r="C48" s="91" t="n">
        <f aca="false">Assumptions!$C$7*EXP(-Assumptions!$C$9*Assumptions!$C$10)*NORMSDIST(-(((LN(2100/Assumptions!$C$7)+(Assumptions!$C$9-Assumptions!$C$11+0.1^2/2)*Assumptions!$C$10)/(0.1*SQRT(Assumptions!$C$10)))-0.1*SQRT(Assumptions!$C$10)))-2100*EXP(-Assumptions!$C$11*Assumptions!$C$10)*NORMSDIST(-((LN(2100/Assumptions!$C$7)+(Assumptions!$C$9-Assumptions!$C$11+0.1^2/2)*Assumptions!$C$10)/(0.1*SQRT(Assumptions!$C$10))))</f>
        <v>364.966837875486</v>
      </c>
      <c r="D48" s="91" t="n">
        <f aca="false">Assumptions!$C$7*EXP(-Assumptions!$C$9*Assumptions!$C$10)*NORMSDIST(-(((LN(2100/Assumptions!$C$7)+(Assumptions!$C$9-Assumptions!$C$11+0.15^2/2)*Assumptions!$C$10)/(0.15*SQRT(Assumptions!$C$10)))-0.15*SQRT(Assumptions!$C$10)))-2100*EXP(-Assumptions!$C$11*Assumptions!$C$10)*NORMSDIST(-((LN(2100/Assumptions!$C$7)+(Assumptions!$C$9-Assumptions!$C$11+0.15^2/2)*Assumptions!$C$10)/(0.15*SQRT(Assumptions!$C$10))))</f>
        <v>365.927756868145</v>
      </c>
      <c r="E48" s="91" t="n">
        <f aca="false">Assumptions!$C$7*EXP(-Assumptions!$C$9*Assumptions!$C$10)*NORMSDIST(-(((LN(2100/Assumptions!$C$7)+(Assumptions!$C$9-Assumptions!$C$11+0.2^2/2)*Assumptions!$C$10)/(0.2*SQRT(Assumptions!$C$10)))-0.2*SQRT(Assumptions!$C$10)))-2100*EXP(-Assumptions!$C$11*Assumptions!$C$10)*NORMSDIST(-((LN(2100/Assumptions!$C$7)+(Assumptions!$C$9-Assumptions!$C$11+0.2^2/2)*Assumptions!$C$10)/(0.2*SQRT(Assumptions!$C$10))))</f>
        <v>370.143056136656</v>
      </c>
      <c r="F48" s="91" t="n">
        <f aca="false">Assumptions!$C$7*EXP(-Assumptions!$C$9*Assumptions!$C$10)*NORMSDIST(-(((LN(2100/Assumptions!$C$7)+(Assumptions!$C$9-Assumptions!$C$11+0.25^2/2)*Assumptions!$C$10)/(0.25*SQRT(Assumptions!$C$10)))-0.25*SQRT(Assumptions!$C$10)))-2100*EXP(-Assumptions!$C$11*Assumptions!$C$10)*NORMSDIST(-((LN(2100/Assumptions!$C$7)+(Assumptions!$C$9-Assumptions!$C$11+0.25^2/2)*Assumptions!$C$10)/(0.25*SQRT(Assumptions!$C$10))))</f>
        <v>378.269213139271</v>
      </c>
      <c r="G48" s="91" t="n">
        <f aca="false">Assumptions!$C$7*EXP(-Assumptions!$C$9*Assumptions!$C$10)*NORMSDIST(-(((LN(2100/Assumptions!$C$7)+(Assumptions!$C$9-Assumptions!$C$11+0.3^2/2)*Assumptions!$C$10)/(0.3*SQRT(Assumptions!$C$10)))-0.3*SQRT(Assumptions!$C$10)))-2100*EXP(-Assumptions!$C$11*Assumptions!$C$10)*NORMSDIST(-((LN(2100/Assumptions!$C$7)+(Assumptions!$C$9-Assumptions!$C$11+0.3^2/2)*Assumptions!$C$10)/(0.3*SQRT(Assumptions!$C$10))))</f>
        <v>389.651728667842</v>
      </c>
      <c r="H48" s="91" t="n">
        <f aca="false">Assumptions!$C$7*EXP(-Assumptions!$C$9*Assumptions!$C$10)*NORMSDIST(-(((LN(2100/Assumptions!$C$7)+(Assumptions!$C$9-Assumptions!$C$11+0.35^2/2)*Assumptions!$C$10)/(0.35*SQRT(Assumptions!$C$10)))-0.35*SQRT(Assumptions!$C$10)))-2100*EXP(-Assumptions!$C$11*Assumptions!$C$10)*NORMSDIST(-((LN(2100/Assumptions!$C$7)+(Assumptions!$C$9-Assumptions!$C$11+0.35^2/2)*Assumptions!$C$10)/(0.35*SQRT(Assumptions!$C$10))))</f>
        <v>403.470224633573</v>
      </c>
      <c r="I48" s="91" t="n">
        <f aca="false">Assumptions!$C$7*EXP(-Assumptions!$C$9*Assumptions!$C$10)*NORMSDIST(-(((LN(2100/Assumptions!$C$7)+(Assumptions!$C$9-Assumptions!$C$11+0.4^2/2)*Assumptions!$C$10)/(0.4*SQRT(Assumptions!$C$10)))-0.4*SQRT(Assumptions!$C$10)))-2100*EXP(-Assumptions!$C$11*Assumptions!$C$10)*NORMSDIST(-((LN(2100/Assumptions!$C$7)+(Assumptions!$C$9-Assumptions!$C$11+0.4^2/2)*Assumptions!$C$10)/(0.4*SQRT(Assumptions!$C$10))))</f>
        <v>419.06898527449</v>
      </c>
      <c r="J48" s="91" t="n">
        <f aca="false">Assumptions!$C$7*EXP(-Assumptions!$C$9*Assumptions!$C$10)*NORMSDIST(-(((LN(2100/Assumptions!$C$7)+(Assumptions!$C$9-Assumptions!$C$11+0.45^2/2)*Assumptions!$C$10)/(0.45*SQRT(Assumptions!$C$10)))-0.45*SQRT(Assumptions!$C$10)))-2100*EXP(-Assumptions!$C$11*Assumptions!$C$10)*NORMSDIST(-((LN(2100/Assumptions!$C$7)+(Assumptions!$C$9-Assumptions!$C$11+0.45^2/2)*Assumptions!$C$10)/(0.45*SQRT(Assumptions!$C$10))))</f>
        <v>435.974062577249</v>
      </c>
      <c r="K48" s="91" t="n">
        <f aca="false">Assumptions!$C$7*EXP(-Assumptions!$C$9*Assumptions!$C$10)*NORMSDIST(-(((LN(2100/Assumptions!$C$7)+(Assumptions!$C$9-Assumptions!$C$11+0.5^2/2)*Assumptions!$C$10)/(0.5*SQRT(Assumptions!$C$10)))-0.5*SQRT(Assumptions!$C$10)))-2100*EXP(-Assumptions!$C$11*Assumptions!$C$10)*NORMSDIST(-((LN(2100/Assumptions!$C$7)+(Assumptions!$C$9-Assumptions!$C$11+0.5^2/2)*Assumptions!$C$10)/(0.5*SQRT(Assumptions!$C$10))))</f>
        <v>453.849639511701</v>
      </c>
    </row>
    <row r="49" customFormat="false" ht="15.75" hidden="false" customHeight="true" outlineLevel="0" collapsed="false">
      <c r="B49" s="88" t="n">
        <v>2150</v>
      </c>
      <c r="C49" s="89" t="n">
        <f aca="false">Assumptions!$C$7*EXP(-Assumptions!$C$9*Assumptions!$C$10)*NORMSDIST(-(((LN(2150/Assumptions!$C$7)+(Assumptions!$C$9-Assumptions!$C$11+0.1^2/2)*Assumptions!$C$10)/(0.1*SQRT(Assumptions!$C$10)))-0.1*SQRT(Assumptions!$C$10)))-2150*EXP(-Assumptions!$C$11*Assumptions!$C$10)*NORMSDIST(-((LN(2150/Assumptions!$C$7)+(Assumptions!$C$9-Assumptions!$C$11+0.1^2/2)*Assumptions!$C$10)/(0.1*SQRT(Assumptions!$C$10))))</f>
        <v>315.177781955975</v>
      </c>
      <c r="D49" s="89" t="n">
        <f aca="false">Assumptions!$C$7*EXP(-Assumptions!$C$9*Assumptions!$C$10)*NORMSDIST(-(((LN(2150/Assumptions!$C$7)+(Assumptions!$C$9-Assumptions!$C$11+0.15^2/2)*Assumptions!$C$10)/(0.15*SQRT(Assumptions!$C$10)))-0.15*SQRT(Assumptions!$C$10)))-2150*EXP(-Assumptions!$C$11*Assumptions!$C$10)*NORMSDIST(-((LN(2150/Assumptions!$C$7)+(Assumptions!$C$9-Assumptions!$C$11+0.15^2/2)*Assumptions!$C$10)/(0.15*SQRT(Assumptions!$C$10))))</f>
        <v>317.363475844499</v>
      </c>
      <c r="E49" s="89" t="n">
        <f aca="false">Assumptions!$C$7*EXP(-Assumptions!$C$9*Assumptions!$C$10)*NORMSDIST(-(((LN(2150/Assumptions!$C$7)+(Assumptions!$C$9-Assumptions!$C$11+0.2^2/2)*Assumptions!$C$10)/(0.2*SQRT(Assumptions!$C$10)))-0.2*SQRT(Assumptions!$C$10)))-2150*EXP(-Assumptions!$C$11*Assumptions!$C$10)*NORMSDIST(-((LN(2150/Assumptions!$C$7)+(Assumptions!$C$9-Assumptions!$C$11+0.2^2/2)*Assumptions!$C$10)/(0.2*SQRT(Assumptions!$C$10))))</f>
        <v>324.04338304949</v>
      </c>
      <c r="F49" s="89" t="n">
        <f aca="false">Assumptions!$C$7*EXP(-Assumptions!$C$9*Assumptions!$C$10)*NORMSDIST(-(((LN(2150/Assumptions!$C$7)+(Assumptions!$C$9-Assumptions!$C$11+0.25^2/2)*Assumptions!$C$10)/(0.25*SQRT(Assumptions!$C$10)))-0.25*SQRT(Assumptions!$C$10)))-2150*EXP(-Assumptions!$C$11*Assumptions!$C$10)*NORMSDIST(-((LN(2150/Assumptions!$C$7)+(Assumptions!$C$9-Assumptions!$C$11+0.25^2/2)*Assumptions!$C$10)/(0.25*SQRT(Assumptions!$C$10))))</f>
        <v>334.880121811995</v>
      </c>
      <c r="G49" s="89" t="n">
        <f aca="false">Assumptions!$C$7*EXP(-Assumptions!$C$9*Assumptions!$C$10)*NORMSDIST(-(((LN(2150/Assumptions!$C$7)+(Assumptions!$C$9-Assumptions!$C$11+0.3^2/2)*Assumptions!$C$10)/(0.3*SQRT(Assumptions!$C$10)))-0.3*SQRT(Assumptions!$C$10)))-2150*EXP(-Assumptions!$C$11*Assumptions!$C$10)*NORMSDIST(-((LN(2150/Assumptions!$C$7)+(Assumptions!$C$9-Assumptions!$C$11+0.3^2/2)*Assumptions!$C$10)/(0.3*SQRT(Assumptions!$C$10))))</f>
        <v>348.74569561658</v>
      </c>
      <c r="H49" s="89" t="n">
        <f aca="false">Assumptions!$C$7*EXP(-Assumptions!$C$9*Assumptions!$C$10)*NORMSDIST(-(((LN(2150/Assumptions!$C$7)+(Assumptions!$C$9-Assumptions!$C$11+0.35^2/2)*Assumptions!$C$10)/(0.35*SQRT(Assumptions!$C$10)))-0.35*SQRT(Assumptions!$C$10)))-2150*EXP(-Assumptions!$C$11*Assumptions!$C$10)*NORMSDIST(-((LN(2150/Assumptions!$C$7)+(Assumptions!$C$9-Assumptions!$C$11+0.35^2/2)*Assumptions!$C$10)/(0.35*SQRT(Assumptions!$C$10))))</f>
        <v>364.716256651189</v>
      </c>
      <c r="I49" s="89" t="n">
        <f aca="false">Assumptions!$C$7*EXP(-Assumptions!$C$9*Assumptions!$C$10)*NORMSDIST(-(((LN(2150/Assumptions!$C$7)+(Assumptions!$C$9-Assumptions!$C$11+0.4^2/2)*Assumptions!$C$10)/(0.4*SQRT(Assumptions!$C$10)))-0.4*SQRT(Assumptions!$C$10)))-2150*EXP(-Assumptions!$C$11*Assumptions!$C$10)*NORMSDIST(-((LN(2150/Assumptions!$C$7)+(Assumptions!$C$9-Assumptions!$C$11+0.4^2/2)*Assumptions!$C$10)/(0.4*SQRT(Assumptions!$C$10))))</f>
        <v>382.157432872638</v>
      </c>
      <c r="J49" s="89" t="n">
        <f aca="false">Assumptions!$C$7*EXP(-Assumptions!$C$9*Assumptions!$C$10)*NORMSDIST(-(((LN(2150/Assumptions!$C$7)+(Assumptions!$C$9-Assumptions!$C$11+0.45^2/2)*Assumptions!$C$10)/(0.45*SQRT(Assumptions!$C$10)))-0.45*SQRT(Assumptions!$C$10)))-2150*EXP(-Assumptions!$C$11*Assumptions!$C$10)*NORMSDIST(-((LN(2150/Assumptions!$C$7)+(Assumptions!$C$9-Assumptions!$C$11+0.45^2/2)*Assumptions!$C$10)/(0.45*SQRT(Assumptions!$C$10))))</f>
        <v>400.645390693131</v>
      </c>
      <c r="K49" s="89" t="n">
        <f aca="false">Assumptions!$C$7*EXP(-Assumptions!$C$9*Assumptions!$C$10)*NORMSDIST(-(((LN(2150/Assumptions!$C$7)+(Assumptions!$C$9-Assumptions!$C$11+0.5^2/2)*Assumptions!$C$10)/(0.5*SQRT(Assumptions!$C$10)))-0.5*SQRT(Assumptions!$C$10)))-2150*EXP(-Assumptions!$C$11*Assumptions!$C$10)*NORMSDIST(-((LN(2150/Assumptions!$C$7)+(Assumptions!$C$9-Assumptions!$C$11+0.5^2/2)*Assumptions!$C$10)/(0.5*SQRT(Assumptions!$C$10))))</f>
        <v>419.893609672188</v>
      </c>
    </row>
    <row r="50" customFormat="false" ht="15.75" hidden="false" customHeight="true" outlineLevel="0" collapsed="false">
      <c r="B50" s="90" t="n">
        <v>2200</v>
      </c>
      <c r="C50" s="91" t="n">
        <f aca="false">Assumptions!$C$7*EXP(-Assumptions!$C$9*Assumptions!$C$10)*NORMSDIST(-(((LN(2200/Assumptions!$C$7)+(Assumptions!$C$9-Assumptions!$C$11+0.1^2/2)*Assumptions!$C$10)/(0.1*SQRT(Assumptions!$C$10)))-0.1*SQRT(Assumptions!$C$10)))-2200*EXP(-Assumptions!$C$11*Assumptions!$C$10)*NORMSDIST(-((LN(2200/Assumptions!$C$7)+(Assumptions!$C$9-Assumptions!$C$11+0.1^2/2)*Assumptions!$C$10)/(0.1*SQRT(Assumptions!$C$10))))</f>
        <v>265.645065632078</v>
      </c>
      <c r="D50" s="91" t="n">
        <f aca="false">Assumptions!$C$7*EXP(-Assumptions!$C$9*Assumptions!$C$10)*NORMSDIST(-(((LN(2200/Assumptions!$C$7)+(Assumptions!$C$9-Assumptions!$C$11+0.15^2/2)*Assumptions!$C$10)/(0.15*SQRT(Assumptions!$C$10)))-0.15*SQRT(Assumptions!$C$10)))-2200*EXP(-Assumptions!$C$11*Assumptions!$C$10)*NORMSDIST(-((LN(2200/Assumptions!$C$7)+(Assumptions!$C$9-Assumptions!$C$11+0.15^2/2)*Assumptions!$C$10)/(0.15*SQRT(Assumptions!$C$10))))</f>
        <v>270.059846922846</v>
      </c>
      <c r="E50" s="91" t="n">
        <f aca="false">Assumptions!$C$7*EXP(-Assumptions!$C$9*Assumptions!$C$10)*NORMSDIST(-(((LN(2200/Assumptions!$C$7)+(Assumptions!$C$9-Assumptions!$C$11+0.2^2/2)*Assumptions!$C$10)/(0.2*SQRT(Assumptions!$C$10)))-0.2*SQRT(Assumptions!$C$10)))-2200*EXP(-Assumptions!$C$11*Assumptions!$C$10)*NORMSDIST(-((LN(2200/Assumptions!$C$7)+(Assumptions!$C$9-Assumptions!$C$11+0.2^2/2)*Assumptions!$C$10)/(0.2*SQRT(Assumptions!$C$10))))</f>
        <v>279.881298124483</v>
      </c>
      <c r="F50" s="91" t="n">
        <f aca="false">Assumptions!$C$7*EXP(-Assumptions!$C$9*Assumptions!$C$10)*NORMSDIST(-(((LN(2200/Assumptions!$C$7)+(Assumptions!$C$9-Assumptions!$C$11+0.25^2/2)*Assumptions!$C$10)/(0.25*SQRT(Assumptions!$C$10)))-0.25*SQRT(Assumptions!$C$10)))-2200*EXP(-Assumptions!$C$11*Assumptions!$C$10)*NORMSDIST(-((LN(2200/Assumptions!$C$7)+(Assumptions!$C$9-Assumptions!$C$11+0.25^2/2)*Assumptions!$C$10)/(0.25*SQRT(Assumptions!$C$10))))</f>
        <v>293.658008845799</v>
      </c>
      <c r="G50" s="91" t="n">
        <f aca="false">Assumptions!$C$7*EXP(-Assumptions!$C$9*Assumptions!$C$10)*NORMSDIST(-(((LN(2200/Assumptions!$C$7)+(Assumptions!$C$9-Assumptions!$C$11+0.3^2/2)*Assumptions!$C$10)/(0.3*SQRT(Assumptions!$C$10)))-0.3*SQRT(Assumptions!$C$10)))-2200*EXP(-Assumptions!$C$11*Assumptions!$C$10)*NORMSDIST(-((LN(2200/Assumptions!$C$7)+(Assumptions!$C$9-Assumptions!$C$11+0.3^2/2)*Assumptions!$C$10)/(0.3*SQRT(Assumptions!$C$10))))</f>
        <v>310.006866681047</v>
      </c>
      <c r="H50" s="91" t="n">
        <f aca="false">Assumptions!$C$7*EXP(-Assumptions!$C$9*Assumptions!$C$10)*NORMSDIST(-(((LN(2200/Assumptions!$C$7)+(Assumptions!$C$9-Assumptions!$C$11+0.35^2/2)*Assumptions!$C$10)/(0.35*SQRT(Assumptions!$C$10)))-0.35*SQRT(Assumptions!$C$10)))-2200*EXP(-Assumptions!$C$11*Assumptions!$C$10)*NORMSDIST(-((LN(2200/Assumptions!$C$7)+(Assumptions!$C$9-Assumptions!$C$11+0.35^2/2)*Assumptions!$C$10)/(0.35*SQRT(Assumptions!$C$10))))</f>
        <v>328.03549861828</v>
      </c>
      <c r="I50" s="91" t="n">
        <f aca="false">Assumptions!$C$7*EXP(-Assumptions!$C$9*Assumptions!$C$10)*NORMSDIST(-(((LN(2200/Assumptions!$C$7)+(Assumptions!$C$9-Assumptions!$C$11+0.4^2/2)*Assumptions!$C$10)/(0.4*SQRT(Assumptions!$C$10)))-0.4*SQRT(Assumptions!$C$10)))-2200*EXP(-Assumptions!$C$11*Assumptions!$C$10)*NORMSDIST(-((LN(2200/Assumptions!$C$7)+(Assumptions!$C$9-Assumptions!$C$11+0.4^2/2)*Assumptions!$C$10)/(0.4*SQRT(Assumptions!$C$10))))</f>
        <v>347.193194992374</v>
      </c>
      <c r="J50" s="91" t="n">
        <f aca="false">Assumptions!$C$7*EXP(-Assumptions!$C$9*Assumptions!$C$10)*NORMSDIST(-(((LN(2200/Assumptions!$C$7)+(Assumptions!$C$9-Assumptions!$C$11+0.45^2/2)*Assumptions!$C$10)/(0.45*SQRT(Assumptions!$C$10)))-0.45*SQRT(Assumptions!$C$10)))-2200*EXP(-Assumptions!$C$11*Assumptions!$C$10)*NORMSDIST(-((LN(2200/Assumptions!$C$7)+(Assumptions!$C$9-Assumptions!$C$11+0.45^2/2)*Assumptions!$C$10)/(0.45*SQRT(Assumptions!$C$10))))</f>
        <v>367.133014414976</v>
      </c>
      <c r="K50" s="91" t="n">
        <f aca="false">Assumptions!$C$7*EXP(-Assumptions!$C$9*Assumptions!$C$10)*NORMSDIST(-(((LN(2200/Assumptions!$C$7)+(Assumptions!$C$9-Assumptions!$C$11+0.5^2/2)*Assumptions!$C$10)/(0.5*SQRT(Assumptions!$C$10)))-0.5*SQRT(Assumptions!$C$10)))-2200*EXP(-Assumptions!$C$11*Assumptions!$C$10)*NORMSDIST(-((LN(2200/Assumptions!$C$7)+(Assumptions!$C$9-Assumptions!$C$11+0.5^2/2)*Assumptions!$C$10)/(0.5*SQRT(Assumptions!$C$10))))</f>
        <v>387.628648180787</v>
      </c>
    </row>
    <row r="51" customFormat="false" ht="15.75" hidden="false" customHeight="true" outlineLevel="0" collapsed="false">
      <c r="B51" s="88" t="n">
        <v>2250</v>
      </c>
      <c r="C51" s="89" t="n">
        <f aca="false">Assumptions!$C$7*EXP(-Assumptions!$C$9*Assumptions!$C$10)*NORMSDIST(-(((LN(2250/Assumptions!$C$7)+(Assumptions!$C$9-Assumptions!$C$11+0.1^2/2)*Assumptions!$C$10)/(0.1*SQRT(Assumptions!$C$10)))-0.1*SQRT(Assumptions!$C$10)))-2250*EXP(-Assumptions!$C$11*Assumptions!$C$10)*NORMSDIST(-((LN(2250/Assumptions!$C$7)+(Assumptions!$C$9-Assumptions!$C$11+0.1^2/2)*Assumptions!$C$10)/(0.1*SQRT(Assumptions!$C$10))))</f>
        <v>216.866738766976</v>
      </c>
      <c r="D51" s="89" t="n">
        <f aca="false">Assumptions!$C$7*EXP(-Assumptions!$C$9*Assumptions!$C$10)*NORMSDIST(-(((LN(2250/Assumptions!$C$7)+(Assumptions!$C$9-Assumptions!$C$11+0.15^2/2)*Assumptions!$C$10)/(0.15*SQRT(Assumptions!$C$10)))-0.15*SQRT(Assumptions!$C$10)))-2250*EXP(-Assumptions!$C$11*Assumptions!$C$10)*NORMSDIST(-((LN(2250/Assumptions!$C$7)+(Assumptions!$C$9-Assumptions!$C$11+0.15^2/2)*Assumptions!$C$10)/(0.15*SQRT(Assumptions!$C$10))))</f>
        <v>224.775439801172</v>
      </c>
      <c r="E51" s="89" t="n">
        <f aca="false">Assumptions!$C$7*EXP(-Assumptions!$C$9*Assumptions!$C$10)*NORMSDIST(-(((LN(2250/Assumptions!$C$7)+(Assumptions!$C$9-Assumptions!$C$11+0.2^2/2)*Assumptions!$C$10)/(0.2*SQRT(Assumptions!$C$10)))-0.2*SQRT(Assumptions!$C$10)))-2250*EXP(-Assumptions!$C$11*Assumptions!$C$10)*NORMSDIST(-((LN(2250/Assumptions!$C$7)+(Assumptions!$C$9-Assumptions!$C$11+0.2^2/2)*Assumptions!$C$10)/(0.2*SQRT(Assumptions!$C$10))))</f>
        <v>238.21227165067</v>
      </c>
      <c r="F51" s="89" t="n">
        <f aca="false">Assumptions!$C$7*EXP(-Assumptions!$C$9*Assumptions!$C$10)*NORMSDIST(-(((LN(2250/Assumptions!$C$7)+(Assumptions!$C$9-Assumptions!$C$11+0.25^2/2)*Assumptions!$C$10)/(0.25*SQRT(Assumptions!$C$10)))-0.25*SQRT(Assumptions!$C$10)))-2250*EXP(-Assumptions!$C$11*Assumptions!$C$10)*NORMSDIST(-((LN(2250/Assumptions!$C$7)+(Assumptions!$C$9-Assumptions!$C$11+0.25^2/2)*Assumptions!$C$10)/(0.25*SQRT(Assumptions!$C$10))))</f>
        <v>254.952452473043</v>
      </c>
      <c r="G51" s="89" t="n">
        <f aca="false">Assumptions!$C$7*EXP(-Assumptions!$C$9*Assumptions!$C$10)*NORMSDIST(-(((LN(2250/Assumptions!$C$7)+(Assumptions!$C$9-Assumptions!$C$11+0.3^2/2)*Assumptions!$C$10)/(0.3*SQRT(Assumptions!$C$10)))-0.3*SQRT(Assumptions!$C$10)))-2250*EXP(-Assumptions!$C$11*Assumptions!$C$10)*NORMSDIST(-((LN(2250/Assumptions!$C$7)+(Assumptions!$C$9-Assumptions!$C$11+0.3^2/2)*Assumptions!$C$10)/(0.3*SQRT(Assumptions!$C$10))))</f>
        <v>273.647812563126</v>
      </c>
      <c r="H51" s="89" t="n">
        <f aca="false">Assumptions!$C$7*EXP(-Assumptions!$C$9*Assumptions!$C$10)*NORMSDIST(-(((LN(2250/Assumptions!$C$7)+(Assumptions!$C$9-Assumptions!$C$11+0.35^2/2)*Assumptions!$C$10)/(0.35*SQRT(Assumptions!$C$10)))-0.35*SQRT(Assumptions!$C$10)))-2250*EXP(-Assumptions!$C$11*Assumptions!$C$10)*NORMSDIST(-((LN(2250/Assumptions!$C$7)+(Assumptions!$C$9-Assumptions!$C$11+0.35^2/2)*Assumptions!$C$10)/(0.35*SQRT(Assumptions!$C$10))))</f>
        <v>293.55549672785</v>
      </c>
      <c r="I51" s="89" t="n">
        <f aca="false">Assumptions!$C$7*EXP(-Assumptions!$C$9*Assumptions!$C$10)*NORMSDIST(-(((LN(2250/Assumptions!$C$7)+(Assumptions!$C$9-Assumptions!$C$11+0.4^2/2)*Assumptions!$C$10)/(0.4*SQRT(Assumptions!$C$10)))-0.4*SQRT(Assumptions!$C$10)))-2250*EXP(-Assumptions!$C$11*Assumptions!$C$10)*NORMSDIST(-((LN(2250/Assumptions!$C$7)+(Assumptions!$C$9-Assumptions!$C$11+0.4^2/2)*Assumptions!$C$10)/(0.4*SQRT(Assumptions!$C$10))))</f>
        <v>314.251047872984</v>
      </c>
      <c r="J51" s="89" t="n">
        <f aca="false">Assumptions!$C$7*EXP(-Assumptions!$C$9*Assumptions!$C$10)*NORMSDIST(-(((LN(2250/Assumptions!$C$7)+(Assumptions!$C$9-Assumptions!$C$11+0.45^2/2)*Assumptions!$C$10)/(0.45*SQRT(Assumptions!$C$10)))-0.45*SQRT(Assumptions!$C$10)))-2250*EXP(-Assumptions!$C$11*Assumptions!$C$10)*NORMSDIST(-((LN(2250/Assumptions!$C$7)+(Assumptions!$C$9-Assumptions!$C$11+0.45^2/2)*Assumptions!$C$10)/(0.45*SQRT(Assumptions!$C$10))))</f>
        <v>335.478380838645</v>
      </c>
      <c r="K51" s="89" t="n">
        <f aca="false">Assumptions!$C$7*EXP(-Assumptions!$C$9*Assumptions!$C$10)*NORMSDIST(-(((LN(2250/Assumptions!$C$7)+(Assumptions!$C$9-Assumptions!$C$11+0.5^2/2)*Assumptions!$C$10)/(0.5*SQRT(Assumptions!$C$10)))-0.5*SQRT(Assumptions!$C$10)))-2250*EXP(-Assumptions!$C$11*Assumptions!$C$10)*NORMSDIST(-((LN(2250/Assumptions!$C$7)+(Assumptions!$C$9-Assumptions!$C$11+0.5^2/2)*Assumptions!$C$10)/(0.5*SQRT(Assumptions!$C$10))))</f>
        <v>357.074724962006</v>
      </c>
    </row>
    <row r="52" customFormat="false" ht="15.75" hidden="false" customHeight="true" outlineLevel="0" collapsed="false">
      <c r="B52" s="90" t="n">
        <v>2300</v>
      </c>
      <c r="C52" s="91" t="n">
        <f aca="false">Assumptions!$C$7*EXP(-Assumptions!$C$9*Assumptions!$C$10)*NORMSDIST(-(((LN(2300/Assumptions!$C$7)+(Assumptions!$C$9-Assumptions!$C$11+0.1^2/2)*Assumptions!$C$10)/(0.1*SQRT(Assumptions!$C$10)))-0.1*SQRT(Assumptions!$C$10)))-2300*EXP(-Assumptions!$C$11*Assumptions!$C$10)*NORMSDIST(-((LN(2300/Assumptions!$C$7)+(Assumptions!$C$9-Assumptions!$C$11+0.1^2/2)*Assumptions!$C$10)/(0.1*SQRT(Assumptions!$C$10))))</f>
        <v>169.871628017649</v>
      </c>
      <c r="D52" s="91" t="n">
        <f aca="false">Assumptions!$C$7*EXP(-Assumptions!$C$9*Assumptions!$C$10)*NORMSDIST(-(((LN(2300/Assumptions!$C$7)+(Assumptions!$C$9-Assumptions!$C$11+0.15^2/2)*Assumptions!$C$10)/(0.15*SQRT(Assumptions!$C$10)))-0.15*SQRT(Assumptions!$C$10)))-2300*EXP(-Assumptions!$C$11*Assumptions!$C$10)*NORMSDIST(-((LN(2300/Assumptions!$C$7)+(Assumptions!$C$9-Assumptions!$C$11+0.15^2/2)*Assumptions!$C$10)/(0.15*SQRT(Assumptions!$C$10))))</f>
        <v>182.419042781116</v>
      </c>
      <c r="E52" s="91" t="n">
        <f aca="false">Assumptions!$C$7*EXP(-Assumptions!$C$9*Assumptions!$C$10)*NORMSDIST(-(((LN(2300/Assumptions!$C$7)+(Assumptions!$C$9-Assumptions!$C$11+0.2^2/2)*Assumptions!$C$10)/(0.2*SQRT(Assumptions!$C$10)))-0.2*SQRT(Assumptions!$C$10)))-2300*EXP(-Assumptions!$C$11*Assumptions!$C$10)*NORMSDIST(-((LN(2300/Assumptions!$C$7)+(Assumptions!$C$9-Assumptions!$C$11+0.2^2/2)*Assumptions!$C$10)/(0.2*SQRT(Assumptions!$C$10))))</f>
        <v>199.57586457718</v>
      </c>
      <c r="F52" s="91" t="n">
        <f aca="false">Assumptions!$C$7*EXP(-Assumptions!$C$9*Assumptions!$C$10)*NORMSDIST(-(((LN(2300/Assumptions!$C$7)+(Assumptions!$C$9-Assumptions!$C$11+0.25^2/2)*Assumptions!$C$10)/(0.25*SQRT(Assumptions!$C$10)))-0.25*SQRT(Assumptions!$C$10)))-2300*EXP(-Assumptions!$C$11*Assumptions!$C$10)*NORMSDIST(-((LN(2300/Assumptions!$C$7)+(Assumptions!$C$9-Assumptions!$C$11+0.25^2/2)*Assumptions!$C$10)/(0.25*SQRT(Assumptions!$C$10))))</f>
        <v>219.066595952816</v>
      </c>
      <c r="G52" s="91" t="n">
        <f aca="false">Assumptions!$C$7*EXP(-Assumptions!$C$9*Assumptions!$C$10)*NORMSDIST(-(((LN(2300/Assumptions!$C$7)+(Assumptions!$C$9-Assumptions!$C$11+0.3^2/2)*Assumptions!$C$10)/(0.3*SQRT(Assumptions!$C$10)))-0.3*SQRT(Assumptions!$C$10)))-2300*EXP(-Assumptions!$C$11*Assumptions!$C$10)*NORMSDIST(-((LN(2300/Assumptions!$C$7)+(Assumptions!$C$9-Assumptions!$C$11+0.3^2/2)*Assumptions!$C$10)/(0.3*SQRT(Assumptions!$C$10))))</f>
        <v>239.838201292742</v>
      </c>
      <c r="H52" s="91" t="n">
        <f aca="false">Assumptions!$C$7*EXP(-Assumptions!$C$9*Assumptions!$C$10)*NORMSDIST(-(((LN(2300/Assumptions!$C$7)+(Assumptions!$C$9-Assumptions!$C$11+0.35^2/2)*Assumptions!$C$10)/(0.35*SQRT(Assumptions!$C$10)))-0.35*SQRT(Assumptions!$C$10)))-2300*EXP(-Assumptions!$C$11*Assumptions!$C$10)*NORMSDIST(-((LN(2300/Assumptions!$C$7)+(Assumptions!$C$9-Assumptions!$C$11+0.35^2/2)*Assumptions!$C$10)/(0.35*SQRT(Assumptions!$C$10))))</f>
        <v>261.370043124308</v>
      </c>
      <c r="I52" s="91" t="n">
        <f aca="false">Assumptions!$C$7*EXP(-Assumptions!$C$9*Assumptions!$C$10)*NORMSDIST(-(((LN(2300/Assumptions!$C$7)+(Assumptions!$C$9-Assumptions!$C$11+0.4^2/2)*Assumptions!$C$10)/(0.4*SQRT(Assumptions!$C$10)))-0.4*SQRT(Assumptions!$C$10)))-2300*EXP(-Assumptions!$C$11*Assumptions!$C$10)*NORMSDIST(-((LN(2300/Assumptions!$C$7)+(Assumptions!$C$9-Assumptions!$C$11+0.4^2/2)*Assumptions!$C$10)/(0.4*SQRT(Assumptions!$C$10))))</f>
        <v>283.380299636054</v>
      </c>
      <c r="J52" s="91" t="n">
        <f aca="false">Assumptions!$C$7*EXP(-Assumptions!$C$9*Assumptions!$C$10)*NORMSDIST(-(((LN(2300/Assumptions!$C$7)+(Assumptions!$C$9-Assumptions!$C$11+0.45^2/2)*Assumptions!$C$10)/(0.45*SQRT(Assumptions!$C$10)))-0.45*SQRT(Assumptions!$C$10)))-2300*EXP(-Assumptions!$C$11*Assumptions!$C$10)*NORMSDIST(-((LN(2300/Assumptions!$C$7)+(Assumptions!$C$9-Assumptions!$C$11+0.45^2/2)*Assumptions!$C$10)/(0.45*SQRT(Assumptions!$C$10))))</f>
        <v>305.70388291509</v>
      </c>
      <c r="K52" s="91" t="n">
        <f aca="false">Assumptions!$C$7*EXP(-Assumptions!$C$9*Assumptions!$C$10)*NORMSDIST(-(((LN(2300/Assumptions!$C$7)+(Assumptions!$C$9-Assumptions!$C$11+0.5^2/2)*Assumptions!$C$10)/(0.5*SQRT(Assumptions!$C$10)))-0.5*SQRT(Assumptions!$C$10)))-2300*EXP(-Assumptions!$C$11*Assumptions!$C$10)*NORMSDIST(-((LN(2300/Assumptions!$C$7)+(Assumptions!$C$9-Assumptions!$C$11+0.5^2/2)*Assumptions!$C$10)/(0.5*SQRT(Assumptions!$C$10))))</f>
        <v>328.237516446779</v>
      </c>
    </row>
    <row r="53" customFormat="false" ht="15.75" hidden="false" customHeight="true" outlineLevel="0" collapsed="false">
      <c r="B53" s="88" t="n">
        <v>2350</v>
      </c>
      <c r="C53" s="89" t="n">
        <f aca="false">Assumptions!$C$7*EXP(-Assumptions!$C$9*Assumptions!$C$10)*NORMSDIST(-(((LN(2350/Assumptions!$C$7)+(Assumptions!$C$9-Assumptions!$C$11+0.1^2/2)*Assumptions!$C$10)/(0.1*SQRT(Assumptions!$C$10)))-0.1*SQRT(Assumptions!$C$10)))-2350*EXP(-Assumptions!$C$11*Assumptions!$C$10)*NORMSDIST(-((LN(2350/Assumptions!$C$7)+(Assumptions!$C$9-Assumptions!$C$11+0.1^2/2)*Assumptions!$C$10)/(0.1*SQRT(Assumptions!$C$10))))</f>
        <v>126.306637843773</v>
      </c>
      <c r="D53" s="89" t="n">
        <f aca="false">Assumptions!$C$7*EXP(-Assumptions!$C$9*Assumptions!$C$10)*NORMSDIST(-(((LN(2350/Assumptions!$C$7)+(Assumptions!$C$9-Assumptions!$C$11+0.15^2/2)*Assumptions!$C$10)/(0.15*SQRT(Assumptions!$C$10)))-0.15*SQRT(Assumptions!$C$10)))-2350*EXP(-Assumptions!$C$11*Assumptions!$C$10)*NORMSDIST(-((LN(2350/Assumptions!$C$7)+(Assumptions!$C$9-Assumptions!$C$11+0.15^2/2)*Assumptions!$C$10)/(0.15*SQRT(Assumptions!$C$10))))</f>
        <v>143.930007966308</v>
      </c>
      <c r="E53" s="89" t="n">
        <f aca="false">Assumptions!$C$7*EXP(-Assumptions!$C$9*Assumptions!$C$10)*NORMSDIST(-(((LN(2350/Assumptions!$C$7)+(Assumptions!$C$9-Assumptions!$C$11+0.2^2/2)*Assumptions!$C$10)/(0.2*SQRT(Assumptions!$C$10)))-0.2*SQRT(Assumptions!$C$10)))-2350*EXP(-Assumptions!$C$11*Assumptions!$C$10)*NORMSDIST(-((LN(2350/Assumptions!$C$7)+(Assumptions!$C$9-Assumptions!$C$11+0.2^2/2)*Assumptions!$C$10)/(0.2*SQRT(Assumptions!$C$10))))</f>
        <v>164.439224956295</v>
      </c>
      <c r="F53" s="89" t="n">
        <f aca="false">Assumptions!$C$7*EXP(-Assumptions!$C$9*Assumptions!$C$10)*NORMSDIST(-(((LN(2350/Assumptions!$C$7)+(Assumptions!$C$9-Assumptions!$C$11+0.25^2/2)*Assumptions!$C$10)/(0.25*SQRT(Assumptions!$C$10)))-0.25*SQRT(Assumptions!$C$10)))-2350*EXP(-Assumptions!$C$11*Assumptions!$C$10)*NORMSDIST(-((LN(2350/Assumptions!$C$7)+(Assumptions!$C$9-Assumptions!$C$11+0.25^2/2)*Assumptions!$C$10)/(0.25*SQRT(Assumptions!$C$10))))</f>
        <v>186.235817775701</v>
      </c>
      <c r="G53" s="89" t="n">
        <f aca="false">Assumptions!$C$7*EXP(-Assumptions!$C$9*Assumptions!$C$10)*NORMSDIST(-(((LN(2350/Assumptions!$C$7)+(Assumptions!$C$9-Assumptions!$C$11+0.3^2/2)*Assumptions!$C$10)/(0.3*SQRT(Assumptions!$C$10)))-0.3*SQRT(Assumptions!$C$10)))-2350*EXP(-Assumptions!$C$11*Assumptions!$C$10)*NORMSDIST(-((LN(2350/Assumptions!$C$7)+(Assumptions!$C$9-Assumptions!$C$11+0.3^2/2)*Assumptions!$C$10)/(0.3*SQRT(Assumptions!$C$10))))</f>
        <v>208.697339122218</v>
      </c>
      <c r="H53" s="89" t="n">
        <f aca="false">Assumptions!$C$7*EXP(-Assumptions!$C$9*Assumptions!$C$10)*NORMSDIST(-(((LN(2350/Assumptions!$C$7)+(Assumptions!$C$9-Assumptions!$C$11+0.35^2/2)*Assumptions!$C$10)/(0.35*SQRT(Assumptions!$C$10)))-0.35*SQRT(Assumptions!$C$10)))-2350*EXP(-Assumptions!$C$11*Assumptions!$C$10)*NORMSDIST(-((LN(2350/Assumptions!$C$7)+(Assumptions!$C$9-Assumptions!$C$11+0.35^2/2)*Assumptions!$C$10)/(0.35*SQRT(Assumptions!$C$10))))</f>
        <v>231.537017933057</v>
      </c>
      <c r="I53" s="89" t="n">
        <f aca="false">Assumptions!$C$7*EXP(-Assumptions!$C$9*Assumptions!$C$10)*NORMSDIST(-(((LN(2350/Assumptions!$C$7)+(Assumptions!$C$9-Assumptions!$C$11+0.4^2/2)*Assumptions!$C$10)/(0.4*SQRT(Assumptions!$C$10)))-0.4*SQRT(Assumptions!$C$10)))-2350*EXP(-Assumptions!$C$11*Assumptions!$C$10)*NORMSDIST(-((LN(2350/Assumptions!$C$7)+(Assumptions!$C$9-Assumptions!$C$11+0.4^2/2)*Assumptions!$C$10)/(0.4*SQRT(Assumptions!$C$10))))</f>
        <v>254.604645734654</v>
      </c>
      <c r="J53" s="89" t="n">
        <f aca="false">Assumptions!$C$7*EXP(-Assumptions!$C$9*Assumptions!$C$10)*NORMSDIST(-(((LN(2350/Assumptions!$C$7)+(Assumptions!$C$9-Assumptions!$C$11+0.45^2/2)*Assumptions!$C$10)/(0.45*SQRT(Assumptions!$C$10)))-0.45*SQRT(Assumptions!$C$10)))-2350*EXP(-Assumptions!$C$11*Assumptions!$C$10)*NORMSDIST(-((LN(2350/Assumptions!$C$7)+(Assumptions!$C$9-Assumptions!$C$11+0.45^2/2)*Assumptions!$C$10)/(0.45*SQRT(Assumptions!$C$10))))</f>
        <v>277.813440175083</v>
      </c>
      <c r="K53" s="89" t="n">
        <f aca="false">Assumptions!$C$7*EXP(-Assumptions!$C$9*Assumptions!$C$10)*NORMSDIST(-(((LN(2350/Assumptions!$C$7)+(Assumptions!$C$9-Assumptions!$C$11+0.5^2/2)*Assumptions!$C$10)/(0.5*SQRT(Assumptions!$C$10)))-0.5*SQRT(Assumptions!$C$10)))-2350*EXP(-Assumptions!$C$11*Assumptions!$C$10)*NORMSDIST(-((LN(2350/Assumptions!$C$7)+(Assumptions!$C$9-Assumptions!$C$11+0.5^2/2)*Assumptions!$C$10)/(0.5*SQRT(Assumptions!$C$10))))</f>
        <v>301.109196677063</v>
      </c>
    </row>
    <row r="54" customFormat="false" ht="15.75" hidden="false" customHeight="true" outlineLevel="0" collapsed="false">
      <c r="B54" s="90" t="n">
        <v>2400</v>
      </c>
      <c r="C54" s="91" t="n">
        <f aca="false">Assumptions!$C$7*EXP(-Assumptions!$C$9*Assumptions!$C$10)*NORMSDIST(-(((LN(2400/Assumptions!$C$7)+(Assumptions!$C$9-Assumptions!$C$11+0.1^2/2)*Assumptions!$C$10)/(0.1*SQRT(Assumptions!$C$10)))-0.1*SQRT(Assumptions!$C$10)))-2400*EXP(-Assumptions!$C$11*Assumptions!$C$10)*NORMSDIST(-((LN(2400/Assumptions!$C$7)+(Assumptions!$C$9-Assumptions!$C$11+0.1^2/2)*Assumptions!$C$10)/(0.1*SQRT(Assumptions!$C$10))))</f>
        <v>88.1762225913551</v>
      </c>
      <c r="D54" s="91" t="n">
        <f aca="false">Assumptions!$C$7*EXP(-Assumptions!$C$9*Assumptions!$C$10)*NORMSDIST(-(((LN(2400/Assumptions!$C$7)+(Assumptions!$C$9-Assumptions!$C$11+0.15^2/2)*Assumptions!$C$10)/(0.15*SQRT(Assumptions!$C$10)))-0.15*SQRT(Assumptions!$C$10)))-2400*EXP(-Assumptions!$C$11*Assumptions!$C$10)*NORMSDIST(-((LN(2400/Assumptions!$C$7)+(Assumptions!$C$9-Assumptions!$C$11+0.15^2/2)*Assumptions!$C$10)/(0.15*SQRT(Assumptions!$C$10))))</f>
        <v>110.120140806563</v>
      </c>
      <c r="E54" s="91" t="n">
        <f aca="false">Assumptions!$C$7*EXP(-Assumptions!$C$9*Assumptions!$C$10)*NORMSDIST(-(((LN(2400/Assumptions!$C$7)+(Assumptions!$C$9-Assumptions!$C$11+0.2^2/2)*Assumptions!$C$10)/(0.2*SQRT(Assumptions!$C$10)))-0.2*SQRT(Assumptions!$C$10)))-2400*EXP(-Assumptions!$C$11*Assumptions!$C$10)*NORMSDIST(-((LN(2400/Assumptions!$C$7)+(Assumptions!$C$9-Assumptions!$C$11+0.2^2/2)*Assumptions!$C$10)/(0.2*SQRT(Assumptions!$C$10))))</f>
        <v>133.146758293994</v>
      </c>
      <c r="F54" s="91" t="n">
        <f aca="false">Assumptions!$C$7*EXP(-Assumptions!$C$9*Assumptions!$C$10)*NORMSDIST(-(((LN(2400/Assumptions!$C$7)+(Assumptions!$C$9-Assumptions!$C$11+0.25^2/2)*Assumptions!$C$10)/(0.25*SQRT(Assumptions!$C$10)))-0.25*SQRT(Assumptions!$C$10)))-2400*EXP(-Assumptions!$C$11*Assumptions!$C$10)*NORMSDIST(-((LN(2400/Assumptions!$C$7)+(Assumptions!$C$9-Assumptions!$C$11+0.25^2/2)*Assumptions!$C$10)/(0.25*SQRT(Assumptions!$C$10))))</f>
        <v>156.612561676499</v>
      </c>
      <c r="G54" s="91" t="n">
        <f aca="false">Assumptions!$C$7*EXP(-Assumptions!$C$9*Assumptions!$C$10)*NORMSDIST(-(((LN(2400/Assumptions!$C$7)+(Assumptions!$C$9-Assumptions!$C$11+0.3^2/2)*Assumptions!$C$10)/(0.3*SQRT(Assumptions!$C$10)))-0.3*SQRT(Assumptions!$C$10)))-2400*EXP(-Assumptions!$C$11*Assumptions!$C$10)*NORMSDIST(-((LN(2400/Assumptions!$C$7)+(Assumptions!$C$9-Assumptions!$C$11+0.3^2/2)*Assumptions!$C$10)/(0.3*SQRT(Assumptions!$C$10))))</f>
        <v>180.290176223307</v>
      </c>
      <c r="H54" s="91" t="n">
        <f aca="false">Assumptions!$C$7*EXP(-Assumptions!$C$9*Assumptions!$C$10)*NORMSDIST(-(((LN(2400/Assumptions!$C$7)+(Assumptions!$C$9-Assumptions!$C$11+0.35^2/2)*Assumptions!$C$10)/(0.35*SQRT(Assumptions!$C$10)))-0.35*SQRT(Assumptions!$C$10)))-2400*EXP(-Assumptions!$C$11*Assumptions!$C$10)*NORMSDIST(-((LN(2400/Assumptions!$C$7)+(Assumptions!$C$9-Assumptions!$C$11+0.35^2/2)*Assumptions!$C$10)/(0.35*SQRT(Assumptions!$C$10))))</f>
        <v>204.078035184587</v>
      </c>
      <c r="I54" s="91" t="n">
        <f aca="false">Assumptions!$C$7*EXP(-Assumptions!$C$9*Assumptions!$C$10)*NORMSDIST(-(((LN(2400/Assumptions!$C$7)+(Assumptions!$C$9-Assumptions!$C$11+0.4^2/2)*Assumptions!$C$10)/(0.4*SQRT(Assumptions!$C$10)))-0.4*SQRT(Assumptions!$C$10)))-2400*EXP(-Assumptions!$C$11*Assumptions!$C$10)*NORMSDIST(-((LN(2400/Assumptions!$C$7)+(Assumptions!$C$9-Assumptions!$C$11+0.4^2/2)*Assumptions!$C$10)/(0.4*SQRT(Assumptions!$C$10))))</f>
        <v>227.922955191806</v>
      </c>
      <c r="J54" s="91" t="n">
        <f aca="false">Assumptions!$C$7*EXP(-Assumptions!$C$9*Assumptions!$C$10)*NORMSDIST(-(((LN(2400/Assumptions!$C$7)+(Assumptions!$C$9-Assumptions!$C$11+0.45^2/2)*Assumptions!$C$10)/(0.45*SQRT(Assumptions!$C$10)))-0.45*SQRT(Assumptions!$C$10)))-2400*EXP(-Assumptions!$C$11*Assumptions!$C$10)*NORMSDIST(-((LN(2400/Assumptions!$C$7)+(Assumptions!$C$9-Assumptions!$C$11+0.45^2/2)*Assumptions!$C$10)/(0.45*SQRT(Assumptions!$C$10))))</f>
        <v>251.793559227585</v>
      </c>
      <c r="K54" s="91" t="n">
        <f aca="false">Assumptions!$C$7*EXP(-Assumptions!$C$9*Assumptions!$C$10)*NORMSDIST(-(((LN(2400/Assumptions!$C$7)+(Assumptions!$C$9-Assumptions!$C$11+0.5^2/2)*Assumptions!$C$10)/(0.5*SQRT(Assumptions!$C$10)))-0.5*SQRT(Assumptions!$C$10)))-2400*EXP(-Assumptions!$C$11*Assumptions!$C$10)*NORMSDIST(-((LN(2400/Assumptions!$C$7)+(Assumptions!$C$9-Assumptions!$C$11+0.5^2/2)*Assumptions!$C$10)/(0.5*SQRT(Assumptions!$C$10))))</f>
        <v>275.669472357957</v>
      </c>
    </row>
    <row r="55" customFormat="false" ht="15.75" hidden="false" customHeight="true" outlineLevel="0" collapsed="false">
      <c r="B55" s="88" t="n">
        <v>2450</v>
      </c>
      <c r="C55" s="89" t="n">
        <f aca="false">Assumptions!$C$7*EXP(-Assumptions!$C$9*Assumptions!$C$10)*NORMSDIST(-(((LN(2450/Assumptions!$C$7)+(Assumptions!$C$9-Assumptions!$C$11+0.1^2/2)*Assumptions!$C$10)/(0.1*SQRT(Assumptions!$C$10)))-0.1*SQRT(Assumptions!$C$10)))-2450*EXP(-Assumptions!$C$11*Assumptions!$C$10)*NORMSDIST(-((LN(2450/Assumptions!$C$7)+(Assumptions!$C$9-Assumptions!$C$11+0.1^2/2)*Assumptions!$C$10)/(0.1*SQRT(Assumptions!$C$10))))</f>
        <v>57.2179963809347</v>
      </c>
      <c r="D55" s="89" t="n">
        <f aca="false">Assumptions!$C$7*EXP(-Assumptions!$C$9*Assumptions!$C$10)*NORMSDIST(-(((LN(2450/Assumptions!$C$7)+(Assumptions!$C$9-Assumptions!$C$11+0.15^2/2)*Assumptions!$C$10)/(0.15*SQRT(Assumptions!$C$10)))-0.15*SQRT(Assumptions!$C$10)))-2450*EXP(-Assumptions!$C$11*Assumptions!$C$10)*NORMSDIST(-((LN(2450/Assumptions!$C$7)+(Assumptions!$C$9-Assumptions!$C$11+0.15^2/2)*Assumptions!$C$10)/(0.15*SQRT(Assumptions!$C$10))))</f>
        <v>81.523576012303</v>
      </c>
      <c r="E55" s="89" t="n">
        <f aca="false">Assumptions!$C$7*EXP(-Assumptions!$C$9*Assumptions!$C$10)*NORMSDIST(-(((LN(2450/Assumptions!$C$7)+(Assumptions!$C$9-Assumptions!$C$11+0.2^2/2)*Assumptions!$C$10)/(0.2*SQRT(Assumptions!$C$10)))-0.2*SQRT(Assumptions!$C$10)))-2450*EXP(-Assumptions!$C$11*Assumptions!$C$10)*NORMSDIST(-((LN(2450/Assumptions!$C$7)+(Assumptions!$C$9-Assumptions!$C$11+0.2^2/2)*Assumptions!$C$10)/(0.2*SQRT(Assumptions!$C$10))))</f>
        <v>105.885278928258</v>
      </c>
      <c r="F55" s="89" t="n">
        <f aca="false">Assumptions!$C$7*EXP(-Assumptions!$C$9*Assumptions!$C$10)*NORMSDIST(-(((LN(2450/Assumptions!$C$7)+(Assumptions!$C$9-Assumptions!$C$11+0.25^2/2)*Assumptions!$C$10)/(0.25*SQRT(Assumptions!$C$10)))-0.25*SQRT(Assumptions!$C$10)))-2450*EXP(-Assumptions!$C$11*Assumptions!$C$10)*NORMSDIST(-((LN(2450/Assumptions!$C$7)+(Assumptions!$C$9-Assumptions!$C$11+0.25^2/2)*Assumptions!$C$10)/(0.25*SQRT(Assumptions!$C$10))))</f>
        <v>130.25880707416</v>
      </c>
      <c r="G55" s="89" t="n">
        <f aca="false">Assumptions!$C$7*EXP(-Assumptions!$C$9*Assumptions!$C$10)*NORMSDIST(-(((LN(2450/Assumptions!$C$7)+(Assumptions!$C$9-Assumptions!$C$11+0.3^2/2)*Assumptions!$C$10)/(0.3*SQRT(Assumptions!$C$10)))-0.3*SQRT(Assumptions!$C$10)))-2450*EXP(-Assumptions!$C$11*Assumptions!$C$10)*NORMSDIST(-((LN(2450/Assumptions!$C$7)+(Assumptions!$C$9-Assumptions!$C$11+0.3^2/2)*Assumptions!$C$10)/(0.3*SQRT(Assumptions!$C$10))))</f>
        <v>154.626825576052</v>
      </c>
      <c r="H55" s="89" t="n">
        <f aca="false">Assumptions!$C$7*EXP(-Assumptions!$C$9*Assumptions!$C$10)*NORMSDIST(-(((LN(2450/Assumptions!$C$7)+(Assumptions!$C$9-Assumptions!$C$11+0.35^2/2)*Assumptions!$C$10)/(0.35*SQRT(Assumptions!$C$10)))-0.35*SQRT(Assumptions!$C$10)))-2450*EXP(-Assumptions!$C$11*Assumptions!$C$10)*NORMSDIST(-((LN(2450/Assumptions!$C$7)+(Assumptions!$C$9-Assumptions!$C$11+0.35^2/2)*Assumptions!$C$10)/(0.35*SQRT(Assumptions!$C$10))))</f>
        <v>178.979734590679</v>
      </c>
      <c r="I55" s="89" t="n">
        <f aca="false">Assumptions!$C$7*EXP(-Assumptions!$C$9*Assumptions!$C$10)*NORMSDIST(-(((LN(2450/Assumptions!$C$7)+(Assumptions!$C$9-Assumptions!$C$11+0.4^2/2)*Assumptions!$C$10)/(0.4*SQRT(Assumptions!$C$10)))-0.4*SQRT(Assumptions!$C$10)))-2450*EXP(-Assumptions!$C$11*Assumptions!$C$10)*NORMSDIST(-((LN(2450/Assumptions!$C$7)+(Assumptions!$C$9-Assumptions!$C$11+0.4^2/2)*Assumptions!$C$10)/(0.4*SQRT(Assumptions!$C$10))))</f>
        <v>203.310846345347</v>
      </c>
      <c r="J55" s="89" t="n">
        <f aca="false">Assumptions!$C$7*EXP(-Assumptions!$C$9*Assumptions!$C$10)*NORMSDIST(-(((LN(2450/Assumptions!$C$7)+(Assumptions!$C$9-Assumptions!$C$11+0.45^2/2)*Assumptions!$C$10)/(0.45*SQRT(Assumptions!$C$10)))-0.45*SQRT(Assumptions!$C$10)))-2450*EXP(-Assumptions!$C$11*Assumptions!$C$10)*NORMSDIST(-((LN(2450/Assumptions!$C$7)+(Assumptions!$C$9-Assumptions!$C$11+0.45^2/2)*Assumptions!$C$10)/(0.45*SQRT(Assumptions!$C$10))))</f>
        <v>227.614776014271</v>
      </c>
      <c r="K55" s="89" t="n">
        <f aca="false">Assumptions!$C$7*EXP(-Assumptions!$C$9*Assumptions!$C$10)*NORMSDIST(-(((LN(2450/Assumptions!$C$7)+(Assumptions!$C$9-Assumptions!$C$11+0.5^2/2)*Assumptions!$C$10)/(0.5*SQRT(Assumptions!$C$10)))-0.5*SQRT(Assumptions!$C$10)))-2450*EXP(-Assumptions!$C$11*Assumptions!$C$10)*NORMSDIST(-((LN(2450/Assumptions!$C$7)+(Assumptions!$C$9-Assumptions!$C$11+0.5^2/2)*Assumptions!$C$10)/(0.5*SQRT(Assumptions!$C$10))))</f>
        <v>251.88679852755</v>
      </c>
    </row>
    <row r="56" customFormat="false" ht="15.75" hidden="false" customHeight="true" outlineLevel="0" collapsed="false">
      <c r="B56" s="84" t="n">
        <v>2500</v>
      </c>
      <c r="C56" s="92" t="n">
        <f aca="false">Assumptions!$C$7*EXP(-Assumptions!$C$9*Assumptions!$C$10)*NORMSDIST(-(((LN(2500/Assumptions!$C$7)+(Assumptions!$C$9-Assumptions!$C$11+0.1^2/2)*Assumptions!$C$10)/(0.1*SQRT(Assumptions!$C$10)))-0.1*SQRT(Assumptions!$C$10)))-2500*EXP(-Assumptions!$C$11*Assumptions!$C$10)*NORMSDIST(-((LN(2500/Assumptions!$C$7)+(Assumptions!$C$9-Assumptions!$C$11+0.1^2/2)*Assumptions!$C$10)/(0.1*SQRT(Assumptions!$C$10))))</f>
        <v>34.2270004629039</v>
      </c>
      <c r="D56" s="92" t="n">
        <f aca="false">Assumptions!$C$7*EXP(-Assumptions!$C$9*Assumptions!$C$10)*NORMSDIST(-(((LN(2500/Assumptions!$C$7)+(Assumptions!$C$9-Assumptions!$C$11+0.15^2/2)*Assumptions!$C$10)/(0.15*SQRT(Assumptions!$C$10)))-0.15*SQRT(Assumptions!$C$10)))-2500*EXP(-Assumptions!$C$11*Assumptions!$C$10)*NORMSDIST(-((LN(2500/Assumptions!$C$7)+(Assumptions!$C$9-Assumptions!$C$11+0.15^2/2)*Assumptions!$C$10)/(0.15*SQRT(Assumptions!$C$10))))</f>
        <v>58.3018302053117</v>
      </c>
      <c r="E56" s="92" t="n">
        <f aca="false">Assumptions!$C$7*EXP(-Assumptions!$C$9*Assumptions!$C$10)*NORMSDIST(-(((LN(2500/Assumptions!$C$7)+(Assumptions!$C$9-Assumptions!$C$11+0.2^2/2)*Assumptions!$C$10)/(0.2*SQRT(Assumptions!$C$10)))-0.2*SQRT(Assumptions!$C$10)))-2500*EXP(-Assumptions!$C$11*Assumptions!$C$10)*NORMSDIST(-((LN(2500/Assumptions!$C$7)+(Assumptions!$C$9-Assumptions!$C$11+0.2^2/2)*Assumptions!$C$10)/(0.2*SQRT(Assumptions!$C$10))))</f>
        <v>82.6702300715676</v>
      </c>
      <c r="F56" s="92" t="n">
        <f aca="false">Assumptions!$C$7*EXP(-Assumptions!$C$9*Assumptions!$C$10)*NORMSDIST(-(((LN(2500/Assumptions!$C$7)+(Assumptions!$C$9-Assumptions!$C$11+0.25^2/2)*Assumptions!$C$10)/(0.25*SQRT(Assumptions!$C$10)))-0.25*SQRT(Assumptions!$C$10)))-2500*EXP(-Assumptions!$C$11*Assumptions!$C$10)*NORMSDIST(-((LN(2500/Assumptions!$C$7)+(Assumptions!$C$9-Assumptions!$C$11+0.25^2/2)*Assumptions!$C$10)/(0.25*SQRT(Assumptions!$C$10))))</f>
        <v>107.14645614562</v>
      </c>
      <c r="G56" s="92" t="n">
        <f aca="false">Assumptions!$C$7*EXP(-Assumptions!$C$9*Assumptions!$C$10)*NORMSDIST(-(((LN(2500/Assumptions!$C$7)+(Assumptions!$C$9-Assumptions!$C$11+0.3^2/2)*Assumptions!$C$10)/(0.3*SQRT(Assumptions!$C$10)))-0.3*SQRT(Assumptions!$C$10)))-2500*EXP(-Assumptions!$C$11*Assumptions!$C$10)*NORMSDIST(-((LN(2500/Assumptions!$C$7)+(Assumptions!$C$9-Assumptions!$C$11+0.3^2/2)*Assumptions!$C$10)/(0.3*SQRT(Assumptions!$C$10))))</f>
        <v>131.665291346851</v>
      </c>
      <c r="H56" s="92" t="n">
        <f aca="false">Assumptions!$C$7*EXP(-Assumptions!$C$9*Assumptions!$C$10)*NORMSDIST(-(((LN(2500/Assumptions!$C$7)+(Assumptions!$C$9-Assumptions!$C$11+0.35^2/2)*Assumptions!$C$10)/(0.35*SQRT(Assumptions!$C$10)))-0.35*SQRT(Assumptions!$C$10)))-2500*EXP(-Assumptions!$C$11*Assumptions!$C$10)*NORMSDIST(-((LN(2500/Assumptions!$C$7)+(Assumptions!$C$9-Assumptions!$C$11+0.35^2/2)*Assumptions!$C$10)/(0.35*SQRT(Assumptions!$C$10))))</f>
        <v>156.196461058399</v>
      </c>
      <c r="I56" s="92" t="n">
        <f aca="false">Assumptions!$C$7*EXP(-Assumptions!$C$9*Assumptions!$C$10)*NORMSDIST(-(((LN(2500/Assumptions!$C$7)+(Assumptions!$C$9-Assumptions!$C$11+0.4^2/2)*Assumptions!$C$10)/(0.4*SQRT(Assumptions!$C$10)))-0.4*SQRT(Assumptions!$C$10)))-2500*EXP(-Assumptions!$C$11*Assumptions!$C$10)*NORMSDIST(-((LN(2500/Assumptions!$C$7)+(Assumptions!$C$9-Assumptions!$C$11+0.4^2/2)*Assumptions!$C$10)/(0.4*SQRT(Assumptions!$C$10))))</f>
        <v>180.722885810368</v>
      </c>
      <c r="J56" s="92" t="n">
        <f aca="false">Assumptions!$C$7*EXP(-Assumptions!$C$9*Assumptions!$C$10)*NORMSDIST(-(((LN(2500/Assumptions!$C$7)+(Assumptions!$C$9-Assumptions!$C$11+0.45^2/2)*Assumptions!$C$10)/(0.45*SQRT(Assumptions!$C$10)))-0.45*SQRT(Assumptions!$C$10)))-2500*EXP(-Assumptions!$C$11*Assumptions!$C$10)*NORMSDIST(-((LN(2500/Assumptions!$C$7)+(Assumptions!$C$9-Assumptions!$C$11+0.45^2/2)*Assumptions!$C$10)/(0.45*SQRT(Assumptions!$C$10))))</f>
        <v>205.233378929793</v>
      </c>
      <c r="K56" s="92" t="n">
        <f aca="false">Assumptions!$C$7*EXP(-Assumptions!$C$9*Assumptions!$C$10)*NORMSDIST(-(((LN(2500/Assumptions!$C$7)+(Assumptions!$C$9-Assumptions!$C$11+0.5^2/2)*Assumptions!$C$10)/(0.5*SQRT(Assumptions!$C$10)))-0.5*SQRT(Assumptions!$C$10)))-2500*EXP(-Assumptions!$C$11*Assumptions!$C$10)*NORMSDIST(-((LN(2500/Assumptions!$C$7)+(Assumptions!$C$9-Assumptions!$C$11+0.5^2/2)*Assumptions!$C$10)/(0.5*SQRT(Assumptions!$C$10))))</f>
        <v>229.719714487083</v>
      </c>
    </row>
    <row r="57" customFormat="false" ht="15.75" hidden="false" customHeight="true" outlineLevel="0" collapsed="false">
      <c r="B57" s="88" t="n">
        <v>2550</v>
      </c>
      <c r="C57" s="89" t="n">
        <f aca="false">Assumptions!$C$7*EXP(-Assumptions!$C$9*Assumptions!$C$10)*NORMSDIST(-(((LN(2550/Assumptions!$C$7)+(Assumptions!$C$9-Assumptions!$C$11+0.1^2/2)*Assumptions!$C$10)/(0.1*SQRT(Assumptions!$C$10)))-0.1*SQRT(Assumptions!$C$10)))-2550*EXP(-Assumptions!$C$11*Assumptions!$C$10)*NORMSDIST(-((LN(2550/Assumptions!$C$7)+(Assumptions!$C$9-Assumptions!$C$11+0.1^2/2)*Assumptions!$C$10)/(0.1*SQRT(Assumptions!$C$10))))</f>
        <v>18.7585172704486</v>
      </c>
      <c r="D57" s="89" t="n">
        <f aca="false">Assumptions!$C$7*EXP(-Assumptions!$C$9*Assumptions!$C$10)*NORMSDIST(-(((LN(2550/Assumptions!$C$7)+(Assumptions!$C$9-Assumptions!$C$11+0.15^2/2)*Assumptions!$C$10)/(0.15*SQRT(Assumptions!$C$10)))-0.15*SQRT(Assumptions!$C$10)))-2550*EXP(-Assumptions!$C$11*Assumptions!$C$10)*NORMSDIST(-((LN(2550/Assumptions!$C$7)+(Assumptions!$C$9-Assumptions!$C$11+0.15^2/2)*Assumptions!$C$10)/(0.15*SQRT(Assumptions!$C$10))))</f>
        <v>40.2310482877549</v>
      </c>
      <c r="E57" s="89" t="n">
        <f aca="false">Assumptions!$C$7*EXP(-Assumptions!$C$9*Assumptions!$C$10)*NORMSDIST(-(((LN(2550/Assumptions!$C$7)+(Assumptions!$C$9-Assumptions!$C$11+0.2^2/2)*Assumptions!$C$10)/(0.2*SQRT(Assumptions!$C$10)))-0.2*SQRT(Assumptions!$C$10)))-2550*EXP(-Assumptions!$C$11*Assumptions!$C$10)*NORMSDIST(-((LN(2550/Assumptions!$C$7)+(Assumptions!$C$9-Assumptions!$C$11+0.2^2/2)*Assumptions!$C$10)/(0.2*SQRT(Assumptions!$C$10))))</f>
        <v>63.353754090465</v>
      </c>
      <c r="F57" s="89" t="n">
        <f aca="false">Assumptions!$C$7*EXP(-Assumptions!$C$9*Assumptions!$C$10)*NORMSDIST(-(((LN(2550/Assumptions!$C$7)+(Assumptions!$C$9-Assumptions!$C$11+0.25^2/2)*Assumptions!$C$10)/(0.25*SQRT(Assumptions!$C$10)))-0.25*SQRT(Assumptions!$C$10)))-2550*EXP(-Assumptions!$C$11*Assumptions!$C$10)*NORMSDIST(-((LN(2550/Assumptions!$C$7)+(Assumptions!$C$9-Assumptions!$C$11+0.25^2/2)*Assumptions!$C$10)/(0.25*SQRT(Assumptions!$C$10))))</f>
        <v>87.1648189490037</v>
      </c>
      <c r="G57" s="89" t="n">
        <f aca="false">Assumptions!$C$7*EXP(-Assumptions!$C$9*Assumptions!$C$10)*NORMSDIST(-(((LN(2550/Assumptions!$C$7)+(Assumptions!$C$9-Assumptions!$C$11+0.3^2/2)*Assumptions!$C$10)/(0.3*SQRT(Assumptions!$C$10)))-0.3*SQRT(Assumptions!$C$10)))-2550*EXP(-Assumptions!$C$11*Assumptions!$C$10)*NORMSDIST(-((LN(2550/Assumptions!$C$7)+(Assumptions!$C$9-Assumptions!$C$11+0.3^2/2)*Assumptions!$C$10)/(0.3*SQRT(Assumptions!$C$10))))</f>
        <v>111.316839241544</v>
      </c>
      <c r="H57" s="89" t="n">
        <f aca="false">Assumptions!$C$7*EXP(-Assumptions!$C$9*Assumptions!$C$10)*NORMSDIST(-(((LN(2550/Assumptions!$C$7)+(Assumptions!$C$9-Assumptions!$C$11+0.35^2/2)*Assumptions!$C$10)/(0.35*SQRT(Assumptions!$C$10)))-0.35*SQRT(Assumptions!$C$10)))-2550*EXP(-Assumptions!$C$11*Assumptions!$C$10)*NORMSDIST(-((LN(2550/Assumptions!$C$7)+(Assumptions!$C$9-Assumptions!$C$11+0.35^2/2)*Assumptions!$C$10)/(0.35*SQRT(Assumptions!$C$10))))</f>
        <v>135.654012591889</v>
      </c>
      <c r="I57" s="89" t="n">
        <f aca="false">Assumptions!$C$7*EXP(-Assumptions!$C$9*Assumptions!$C$10)*NORMSDIST(-(((LN(2550/Assumptions!$C$7)+(Assumptions!$C$9-Assumptions!$C$11+0.4^2/2)*Assumptions!$C$10)/(0.4*SQRT(Assumptions!$C$10)))-0.4*SQRT(Assumptions!$C$10)))-2550*EXP(-Assumptions!$C$11*Assumptions!$C$10)*NORMSDIST(-((LN(2550/Assumptions!$C$7)+(Assumptions!$C$9-Assumptions!$C$11+0.4^2/2)*Assumptions!$C$10)/(0.4*SQRT(Assumptions!$C$10))))</f>
        <v>160.095234992343</v>
      </c>
      <c r="J57" s="89" t="n">
        <f aca="false">Assumptions!$C$7*EXP(-Assumptions!$C$9*Assumptions!$C$10)*NORMSDIST(-(((LN(2550/Assumptions!$C$7)+(Assumptions!$C$9-Assumptions!$C$11+0.45^2/2)*Assumptions!$C$10)/(0.45*SQRT(Assumptions!$C$10)))-0.45*SQRT(Assumptions!$C$10)))-2550*EXP(-Assumptions!$C$11*Assumptions!$C$10)*NORMSDIST(-((LN(2550/Assumptions!$C$7)+(Assumptions!$C$9-Assumptions!$C$11+0.45^2/2)*Assumptions!$C$10)/(0.45*SQRT(Assumptions!$C$10))))</f>
        <v>184.593315115409</v>
      </c>
      <c r="K57" s="89" t="n">
        <f aca="false">Assumptions!$C$7*EXP(-Assumptions!$C$9*Assumptions!$C$10)*NORMSDIST(-(((LN(2550/Assumptions!$C$7)+(Assumptions!$C$9-Assumptions!$C$11+0.5^2/2)*Assumptions!$C$10)/(0.5*SQRT(Assumptions!$C$10)))-0.5*SQRT(Assumptions!$C$10)))-2550*EXP(-Assumptions!$C$11*Assumptions!$C$10)*NORMSDIST(-((LN(2550/Assumptions!$C$7)+(Assumptions!$C$9-Assumptions!$C$11+0.5^2/2)*Assumptions!$C$10)/(0.5*SQRT(Assumptions!$C$10))))</f>
        <v>209.118244828891</v>
      </c>
    </row>
    <row r="58" customFormat="false" ht="15.75" hidden="false" customHeight="true" outlineLevel="0" collapsed="false">
      <c r="B58" s="90" t="n">
        <v>2600</v>
      </c>
      <c r="C58" s="91" t="n">
        <f aca="false">Assumptions!$C$7*EXP(-Assumptions!$C$9*Assumptions!$C$10)*NORMSDIST(-(((LN(2600/Assumptions!$C$7)+(Assumptions!$C$9-Assumptions!$C$11+0.1^2/2)*Assumptions!$C$10)/(0.1*SQRT(Assumptions!$C$10)))-0.1*SQRT(Assumptions!$C$10)))-2600*EXP(-Assumptions!$C$11*Assumptions!$C$10)*NORMSDIST(-((LN(2600/Assumptions!$C$7)+(Assumptions!$C$9-Assumptions!$C$11+0.1^2/2)*Assumptions!$C$10)/(0.1*SQRT(Assumptions!$C$10))))</f>
        <v>9.38212649724483</v>
      </c>
      <c r="D58" s="91" t="n">
        <f aca="false">Assumptions!$C$7*EXP(-Assumptions!$C$9*Assumptions!$C$10)*NORMSDIST(-(((LN(2600/Assumptions!$C$7)+(Assumptions!$C$9-Assumptions!$C$11+0.15^2/2)*Assumptions!$C$10)/(0.15*SQRT(Assumptions!$C$10)))-0.15*SQRT(Assumptions!$C$10)))-2600*EXP(-Assumptions!$C$11*Assumptions!$C$10)*NORMSDIST(-((LN(2600/Assumptions!$C$7)+(Assumptions!$C$9-Assumptions!$C$11+0.15^2/2)*Assumptions!$C$10)/(0.15*SQRT(Assumptions!$C$10))))</f>
        <v>26.768321562725</v>
      </c>
      <c r="E58" s="91" t="n">
        <f aca="false">Assumptions!$C$7*EXP(-Assumptions!$C$9*Assumptions!$C$10)*NORMSDIST(-(((LN(2600/Assumptions!$C$7)+(Assumptions!$C$9-Assumptions!$C$11+0.2^2/2)*Assumptions!$C$10)/(0.2*SQRT(Assumptions!$C$10)))-0.2*SQRT(Assumptions!$C$10)))-2600*EXP(-Assumptions!$C$11*Assumptions!$C$10)*NORMSDIST(-((LN(2600/Assumptions!$C$7)+(Assumptions!$C$9-Assumptions!$C$11+0.2^2/2)*Assumptions!$C$10)/(0.2*SQRT(Assumptions!$C$10))))</f>
        <v>47.6509922838244</v>
      </c>
      <c r="F58" s="91" t="n">
        <f aca="false">Assumptions!$C$7*EXP(-Assumptions!$C$9*Assumptions!$C$10)*NORMSDIST(-(((LN(2600/Assumptions!$C$7)+(Assumptions!$C$9-Assumptions!$C$11+0.25^2/2)*Assumptions!$C$10)/(0.25*SQRT(Assumptions!$C$10)))-0.25*SQRT(Assumptions!$C$10)))-2600*EXP(-Assumptions!$C$11*Assumptions!$C$10)*NORMSDIST(-((LN(2600/Assumptions!$C$7)+(Assumptions!$C$9-Assumptions!$C$11+0.25^2/2)*Assumptions!$C$10)/(0.25*SQRT(Assumptions!$C$10))))</f>
        <v>70.1335756126825</v>
      </c>
      <c r="G58" s="91" t="n">
        <f aca="false">Assumptions!$C$7*EXP(-Assumptions!$C$9*Assumptions!$C$10)*NORMSDIST(-(((LN(2600/Assumptions!$C$7)+(Assumptions!$C$9-Assumptions!$C$11+0.3^2/2)*Assumptions!$C$10)/(0.3*SQRT(Assumptions!$C$10)))-0.3*SQRT(Assumptions!$C$10)))-2600*EXP(-Assumptions!$C$11*Assumptions!$C$10)*NORMSDIST(-((LN(2600/Assumptions!$C$7)+(Assumptions!$C$9-Assumptions!$C$11+0.3^2/2)*Assumptions!$C$10)/(0.3*SQRT(Assumptions!$C$10))))</f>
        <v>93.4532839368532</v>
      </c>
      <c r="H58" s="91" t="n">
        <f aca="false">Assumptions!$C$7*EXP(-Assumptions!$C$9*Assumptions!$C$10)*NORMSDIST(-(((LN(2600/Assumptions!$C$7)+(Assumptions!$C$9-Assumptions!$C$11+0.35^2/2)*Assumptions!$C$10)/(0.35*SQRT(Assumptions!$C$10)))-0.35*SQRT(Assumptions!$C$10)))-2600*EXP(-Assumptions!$C$11*Assumptions!$C$10)*NORMSDIST(-((LN(2600/Assumptions!$C$7)+(Assumptions!$C$9-Assumptions!$C$11+0.35^2/2)*Assumptions!$C$10)/(0.35*SQRT(Assumptions!$C$10))))</f>
        <v>117.254113255245</v>
      </c>
      <c r="I58" s="91" t="n">
        <f aca="false">Assumptions!$C$7*EXP(-Assumptions!$C$9*Assumptions!$C$10)*NORMSDIST(-(((LN(2600/Assumptions!$C$7)+(Assumptions!$C$9-Assumptions!$C$11+0.4^2/2)*Assumptions!$C$10)/(0.4*SQRT(Assumptions!$C$10)))-0.4*SQRT(Assumptions!$C$10)))-2600*EXP(-Assumptions!$C$11*Assumptions!$C$10)*NORMSDIST(-((LN(2600/Assumptions!$C$7)+(Assumptions!$C$9-Assumptions!$C$11+0.4^2/2)*Assumptions!$C$10)/(0.4*SQRT(Assumptions!$C$10))))</f>
        <v>141.348572283277</v>
      </c>
      <c r="J58" s="91" t="n">
        <f aca="false">Assumptions!$C$7*EXP(-Assumptions!$C$9*Assumptions!$C$10)*NORMSDIST(-(((LN(2600/Assumptions!$C$7)+(Assumptions!$C$9-Assumptions!$C$11+0.45^2/2)*Assumptions!$C$10)/(0.45*SQRT(Assumptions!$C$10)))-0.45*SQRT(Assumptions!$C$10)))-2600*EXP(-Assumptions!$C$11*Assumptions!$C$10)*NORMSDIST(-((LN(2600/Assumptions!$C$7)+(Assumptions!$C$9-Assumptions!$C$11+0.45^2/2)*Assumptions!$C$10)/(0.45*SQRT(Assumptions!$C$10))))</f>
        <v>165.628190032983</v>
      </c>
      <c r="K58" s="91" t="n">
        <f aca="false">Assumptions!$C$7*EXP(-Assumptions!$C$9*Assumptions!$C$10)*NORMSDIST(-(((LN(2600/Assumptions!$C$7)+(Assumptions!$C$9-Assumptions!$C$11+0.5^2/2)*Assumptions!$C$10)/(0.5*SQRT(Assumptions!$C$10)))-0.5*SQRT(Assumptions!$C$10)))-2600*EXP(-Assumptions!$C$11*Assumptions!$C$10)*NORMSDIST(-((LN(2600/Assumptions!$C$7)+(Assumptions!$C$9-Assumptions!$C$11+0.5^2/2)*Assumptions!$C$10)/(0.5*SQRT(Assumptions!$C$10))))</f>
        <v>190.025317068141</v>
      </c>
    </row>
    <row r="59" customFormat="false" ht="15.75" hidden="false" customHeight="true" outlineLevel="0" collapsed="false">
      <c r="B59" s="88" t="n">
        <v>2650</v>
      </c>
      <c r="C59" s="89" t="n">
        <f aca="false">Assumptions!$C$7*EXP(-Assumptions!$C$9*Assumptions!$C$10)*NORMSDIST(-(((LN(2650/Assumptions!$C$7)+(Assumptions!$C$9-Assumptions!$C$11+0.1^2/2)*Assumptions!$C$10)/(0.1*SQRT(Assumptions!$C$10)))-0.1*SQRT(Assumptions!$C$10)))-2650*EXP(-Assumptions!$C$11*Assumptions!$C$10)*NORMSDIST(-((LN(2650/Assumptions!$C$7)+(Assumptions!$C$9-Assumptions!$C$11+0.1^2/2)*Assumptions!$C$10)/(0.1*SQRT(Assumptions!$C$10))))</f>
        <v>4.27356832496352</v>
      </c>
      <c r="D59" s="89" t="n">
        <f aca="false">Assumptions!$C$7*EXP(-Assumptions!$C$9*Assumptions!$C$10)*NORMSDIST(-(((LN(2650/Assumptions!$C$7)+(Assumptions!$C$9-Assumptions!$C$11+0.15^2/2)*Assumptions!$C$10)/(0.15*SQRT(Assumptions!$C$10)))-0.15*SQRT(Assumptions!$C$10)))-2650*EXP(-Assumptions!$C$11*Assumptions!$C$10)*NORMSDIST(-((LN(2650/Assumptions!$C$7)+(Assumptions!$C$9-Assumptions!$C$11+0.15^2/2)*Assumptions!$C$10)/(0.15*SQRT(Assumptions!$C$10))))</f>
        <v>17.168883180338</v>
      </c>
      <c r="E59" s="89" t="n">
        <f aca="false">Assumptions!$C$7*EXP(-Assumptions!$C$9*Assumptions!$C$10)*NORMSDIST(-(((LN(2650/Assumptions!$C$7)+(Assumptions!$C$9-Assumptions!$C$11+0.2^2/2)*Assumptions!$C$10)/(0.2*SQRT(Assumptions!$C$10)))-0.2*SQRT(Assumptions!$C$10)))-2650*EXP(-Assumptions!$C$11*Assumptions!$C$10)*NORMSDIST(-((LN(2650/Assumptions!$C$7)+(Assumptions!$C$9-Assumptions!$C$11+0.2^2/2)*Assumptions!$C$10)/(0.2*SQRT(Assumptions!$C$10))))</f>
        <v>35.1781060903705</v>
      </c>
      <c r="F59" s="89" t="n">
        <f aca="false">Assumptions!$C$7*EXP(-Assumptions!$C$9*Assumptions!$C$10)*NORMSDIST(-(((LN(2650/Assumptions!$C$7)+(Assumptions!$C$9-Assumptions!$C$11+0.25^2/2)*Assumptions!$C$10)/(0.25*SQRT(Assumptions!$C$10)))-0.25*SQRT(Assumptions!$C$10)))-2650*EXP(-Assumptions!$C$11*Assumptions!$C$10)*NORMSDIST(-((LN(2650/Assumptions!$C$7)+(Assumptions!$C$9-Assumptions!$C$11+0.25^2/2)*Assumptions!$C$10)/(0.25*SQRT(Assumptions!$C$10))))</f>
        <v>55.8191716437938</v>
      </c>
      <c r="G59" s="89" t="n">
        <f aca="false">Assumptions!$C$7*EXP(-Assumptions!$C$9*Assumptions!$C$10)*NORMSDIST(-(((LN(2650/Assumptions!$C$7)+(Assumptions!$C$9-Assumptions!$C$11+0.3^2/2)*Assumptions!$C$10)/(0.3*SQRT(Assumptions!$C$10)))-0.3*SQRT(Assumptions!$C$10)))-2650*EXP(-Assumptions!$C$11*Assumptions!$C$10)*NORMSDIST(-((LN(2650/Assumptions!$C$7)+(Assumptions!$C$9-Assumptions!$C$11+0.3^2/2)*Assumptions!$C$10)/(0.3*SQRT(Assumptions!$C$10))))</f>
        <v>77.9154165584456</v>
      </c>
      <c r="H59" s="89" t="n">
        <f aca="false">Assumptions!$C$7*EXP(-Assumptions!$C$9*Assumptions!$C$10)*NORMSDIST(-(((LN(2650/Assumptions!$C$7)+(Assumptions!$C$9-Assumptions!$C$11+0.35^2/2)*Assumptions!$C$10)/(0.35*SQRT(Assumptions!$C$10)))-0.35*SQRT(Assumptions!$C$10)))-2650*EXP(-Assumptions!$C$11*Assumptions!$C$10)*NORMSDIST(-((LN(2650/Assumptions!$C$7)+(Assumptions!$C$9-Assumptions!$C$11+0.35^2/2)*Assumptions!$C$10)/(0.35*SQRT(Assumptions!$C$10))))</f>
        <v>100.879275832548</v>
      </c>
      <c r="I59" s="89" t="n">
        <f aca="false">Assumptions!$C$7*EXP(-Assumptions!$C$9*Assumptions!$C$10)*NORMSDIST(-(((LN(2650/Assumptions!$C$7)+(Assumptions!$C$9-Assumptions!$C$11+0.4^2/2)*Assumptions!$C$10)/(0.4*SQRT(Assumptions!$C$10)))-0.4*SQRT(Assumptions!$C$10)))-2650*EXP(-Assumptions!$C$11*Assumptions!$C$10)*NORMSDIST(-((LN(2650/Assumptions!$C$7)+(Assumptions!$C$9-Assumptions!$C$11+0.4^2/2)*Assumptions!$C$10)/(0.4*SQRT(Assumptions!$C$10))))</f>
        <v>124.391133016386</v>
      </c>
      <c r="J59" s="89" t="n">
        <f aca="false">Assumptions!$C$7*EXP(-Assumptions!$C$9*Assumptions!$C$10)*NORMSDIST(-(((LN(2650/Assumptions!$C$7)+(Assumptions!$C$9-Assumptions!$C$11+0.45^2/2)*Assumptions!$C$10)/(0.45*SQRT(Assumptions!$C$10)))-0.45*SQRT(Assumptions!$C$10)))-2650*EXP(-Assumptions!$C$11*Assumptions!$C$10)*NORMSDIST(-((LN(2650/Assumptions!$C$7)+(Assumptions!$C$9-Assumptions!$C$11+0.45^2/2)*Assumptions!$C$10)/(0.45*SQRT(Assumptions!$C$10))))</f>
        <v>148.263281374035</v>
      </c>
      <c r="K59" s="89" t="n">
        <f aca="false">Assumptions!$C$7*EXP(-Assumptions!$C$9*Assumptions!$C$10)*NORMSDIST(-(((LN(2650/Assumptions!$C$7)+(Assumptions!$C$9-Assumptions!$C$11+0.5^2/2)*Assumptions!$C$10)/(0.5*SQRT(Assumptions!$C$10)))-0.5*SQRT(Assumptions!$C$10)))-2650*EXP(-Assumptions!$C$11*Assumptions!$C$10)*NORMSDIST(-((LN(2650/Assumptions!$C$7)+(Assumptions!$C$9-Assumptions!$C$11+0.5^2/2)*Assumptions!$C$10)/(0.5*SQRT(Assumptions!$C$10))))</f>
        <v>172.378154867446</v>
      </c>
    </row>
    <row r="60" customFormat="false" ht="15.75" hidden="false" customHeight="true" outlineLevel="0" collapsed="false">
      <c r="B60" s="90" t="n">
        <v>2700</v>
      </c>
      <c r="C60" s="91" t="n">
        <f aca="false">Assumptions!$C$7*EXP(-Assumptions!$C$9*Assumptions!$C$10)*NORMSDIST(-(((LN(2700/Assumptions!$C$7)+(Assumptions!$C$9-Assumptions!$C$11+0.1^2/2)*Assumptions!$C$10)/(0.1*SQRT(Assumptions!$C$10)))-0.1*SQRT(Assumptions!$C$10)))-2700*EXP(-Assumptions!$C$11*Assumptions!$C$10)*NORMSDIST(-((LN(2700/Assumptions!$C$7)+(Assumptions!$C$9-Assumptions!$C$11+0.1^2/2)*Assumptions!$C$10)/(0.1*SQRT(Assumptions!$C$10))))</f>
        <v>1.77198723188432</v>
      </c>
      <c r="D60" s="91" t="n">
        <f aca="false">Assumptions!$C$7*EXP(-Assumptions!$C$9*Assumptions!$C$10)*NORMSDIST(-(((LN(2700/Assumptions!$C$7)+(Assumptions!$C$9-Assumptions!$C$11+0.15^2/2)*Assumptions!$C$10)/(0.15*SQRT(Assumptions!$C$10)))-0.15*SQRT(Assumptions!$C$10)))-2700*EXP(-Assumptions!$C$11*Assumptions!$C$10)*NORMSDIST(-((LN(2700/Assumptions!$C$7)+(Assumptions!$C$9-Assumptions!$C$11+0.15^2/2)*Assumptions!$C$10)/(0.15*SQRT(Assumptions!$C$10))))</f>
        <v>10.6159217103491</v>
      </c>
      <c r="E60" s="91" t="n">
        <f aca="false">Assumptions!$C$7*EXP(-Assumptions!$C$9*Assumptions!$C$10)*NORMSDIST(-(((LN(2700/Assumptions!$C$7)+(Assumptions!$C$9-Assumptions!$C$11+0.2^2/2)*Assumptions!$C$10)/(0.2*SQRT(Assumptions!$C$10)))-0.2*SQRT(Assumptions!$C$10)))-2700*EXP(-Assumptions!$C$11*Assumptions!$C$10)*NORMSDIST(-((LN(2700/Assumptions!$C$7)+(Assumptions!$C$9-Assumptions!$C$11+0.2^2/2)*Assumptions!$C$10)/(0.2*SQRT(Assumptions!$C$10))))</f>
        <v>25.4945802361611</v>
      </c>
      <c r="F60" s="91" t="n">
        <f aca="false">Assumptions!$C$7*EXP(-Assumptions!$C$9*Assumptions!$C$10)*NORMSDIST(-(((LN(2700/Assumptions!$C$7)+(Assumptions!$C$9-Assumptions!$C$11+0.25^2/2)*Assumptions!$C$10)/(0.25*SQRT(Assumptions!$C$10)))-0.25*SQRT(Assumptions!$C$10)))-2700*EXP(-Assumptions!$C$11*Assumptions!$C$10)*NORMSDIST(-((LN(2700/Assumptions!$C$7)+(Assumptions!$C$9-Assumptions!$C$11+0.25^2/2)*Assumptions!$C$10)/(0.25*SQRT(Assumptions!$C$10))))</f>
        <v>43.9525530749314</v>
      </c>
      <c r="G60" s="91" t="n">
        <f aca="false">Assumptions!$C$7*EXP(-Assumptions!$C$9*Assumptions!$C$10)*NORMSDIST(-(((LN(2700/Assumptions!$C$7)+(Assumptions!$C$9-Assumptions!$C$11+0.3^2/2)*Assumptions!$C$10)/(0.3*SQRT(Assumptions!$C$10)))-0.3*SQRT(Assumptions!$C$10)))-2700*EXP(-Assumptions!$C$11*Assumptions!$C$10)*NORMSDIST(-((LN(2700/Assumptions!$C$7)+(Assumptions!$C$9-Assumptions!$C$11+0.3^2/2)*Assumptions!$C$10)/(0.3*SQRT(Assumptions!$C$10))))</f>
        <v>64.5218326653265</v>
      </c>
      <c r="H60" s="91" t="n">
        <f aca="false">Assumptions!$C$7*EXP(-Assumptions!$C$9*Assumptions!$C$10)*NORMSDIST(-(((LN(2700/Assumptions!$C$7)+(Assumptions!$C$9-Assumptions!$C$11+0.35^2/2)*Assumptions!$C$10)/(0.35*SQRT(Assumptions!$C$10)))-0.35*SQRT(Assumptions!$C$10)))-2700*EXP(-Assumptions!$C$11*Assumptions!$C$10)*NORMSDIST(-((LN(2700/Assumptions!$C$7)+(Assumptions!$C$9-Assumptions!$C$11+0.35^2/2)*Assumptions!$C$10)/(0.35*SQRT(Assumptions!$C$10))))</f>
        <v>86.3977512445609</v>
      </c>
      <c r="I60" s="91" t="n">
        <f aca="false">Assumptions!$C$7*EXP(-Assumptions!$C$9*Assumptions!$C$10)*NORMSDIST(-(((LN(2700/Assumptions!$C$7)+(Assumptions!$C$9-Assumptions!$C$11+0.4^2/2)*Assumptions!$C$10)/(0.4*SQRT(Assumptions!$C$10)))-0.4*SQRT(Assumptions!$C$10)))-2700*EXP(-Assumptions!$C$11*Assumptions!$C$10)*NORMSDIST(-((LN(2700/Assumptions!$C$7)+(Assumptions!$C$9-Assumptions!$C$11+0.4^2/2)*Assumptions!$C$10)/(0.4*SQRT(Assumptions!$C$10))))</f>
        <v>109.121730167277</v>
      </c>
      <c r="J60" s="91" t="n">
        <f aca="false">Assumptions!$C$7*EXP(-Assumptions!$C$9*Assumptions!$C$10)*NORMSDIST(-(((LN(2700/Assumptions!$C$7)+(Assumptions!$C$9-Assumptions!$C$11+0.45^2/2)*Assumptions!$C$10)/(0.45*SQRT(Assumptions!$C$10)))-0.45*SQRT(Assumptions!$C$10)))-2700*EXP(-Assumptions!$C$11*Assumptions!$C$10)*NORMSDIST(-((LN(2700/Assumptions!$C$7)+(Assumptions!$C$9-Assumptions!$C$11+0.45^2/2)*Assumptions!$C$10)/(0.45*SQRT(Assumptions!$C$10))))</f>
        <v>132.417501129253</v>
      </c>
      <c r="K60" s="91" t="n">
        <f aca="false">Assumptions!$C$7*EXP(-Assumptions!$C$9*Assumptions!$C$10)*NORMSDIST(-(((LN(2700/Assumptions!$C$7)+(Assumptions!$C$9-Assumptions!$C$11+0.5^2/2)*Assumptions!$C$10)/(0.5*SQRT(Assumptions!$C$10)))-0.5*SQRT(Assumptions!$C$10)))-2700*EXP(-Assumptions!$C$11*Assumptions!$C$10)*NORMSDIST(-((LN(2700/Assumptions!$C$7)+(Assumptions!$C$9-Assumptions!$C$11+0.5^2/2)*Assumptions!$C$10)/(0.5*SQRT(Assumptions!$C$10))))</f>
        <v>156.109613592316</v>
      </c>
    </row>
    <row r="61" customFormat="false" ht="15.75" hidden="false" customHeight="true" outlineLevel="0" collapsed="false">
      <c r="B61" s="88" t="n">
        <v>2750</v>
      </c>
      <c r="C61" s="89" t="n">
        <f aca="false">Assumptions!$C$7*EXP(-Assumptions!$C$9*Assumptions!$C$10)*NORMSDIST(-(((LN(2750/Assumptions!$C$7)+(Assumptions!$C$9-Assumptions!$C$11+0.1^2/2)*Assumptions!$C$10)/(0.1*SQRT(Assumptions!$C$10)))-0.1*SQRT(Assumptions!$C$10)))-2750*EXP(-Assumptions!$C$11*Assumptions!$C$10)*NORMSDIST(-((LN(2750/Assumptions!$C$7)+(Assumptions!$C$9-Assumptions!$C$11+0.1^2/2)*Assumptions!$C$10)/(0.1*SQRT(Assumptions!$C$10))))</f>
        <v>0.669312272381667</v>
      </c>
      <c r="D61" s="89" t="n">
        <f aca="false">Assumptions!$C$7*EXP(-Assumptions!$C$9*Assumptions!$C$10)*NORMSDIST(-(((LN(2750/Assumptions!$C$7)+(Assumptions!$C$9-Assumptions!$C$11+0.15^2/2)*Assumptions!$C$10)/(0.15*SQRT(Assumptions!$C$10)))-0.15*SQRT(Assumptions!$C$10)))-2750*EXP(-Assumptions!$C$11*Assumptions!$C$10)*NORMSDIST(-((LN(2750/Assumptions!$C$7)+(Assumptions!$C$9-Assumptions!$C$11+0.15^2/2)*Assumptions!$C$10)/(0.15*SQRT(Assumptions!$C$10))))</f>
        <v>6.33034651482538</v>
      </c>
      <c r="E61" s="89" t="n">
        <f aca="false">Assumptions!$C$7*EXP(-Assumptions!$C$9*Assumptions!$C$10)*NORMSDIST(-(((LN(2750/Assumptions!$C$7)+(Assumptions!$C$9-Assumptions!$C$11+0.2^2/2)*Assumptions!$C$10)/(0.2*SQRT(Assumptions!$C$10)))-0.2*SQRT(Assumptions!$C$10)))-2750*EXP(-Assumptions!$C$11*Assumptions!$C$10)*NORMSDIST(-((LN(2750/Assumptions!$C$7)+(Assumptions!$C$9-Assumptions!$C$11+0.2^2/2)*Assumptions!$C$10)/(0.2*SQRT(Assumptions!$C$10))))</f>
        <v>18.1431824389221</v>
      </c>
      <c r="F61" s="89" t="n">
        <f aca="false">Assumptions!$C$7*EXP(-Assumptions!$C$9*Assumptions!$C$10)*NORMSDIST(-(((LN(2750/Assumptions!$C$7)+(Assumptions!$C$9-Assumptions!$C$11+0.25^2/2)*Assumptions!$C$10)/(0.25*SQRT(Assumptions!$C$10)))-0.25*SQRT(Assumptions!$C$10)))-2750*EXP(-Assumptions!$C$11*Assumptions!$C$10)*NORMSDIST(-((LN(2750/Assumptions!$C$7)+(Assumptions!$C$9-Assumptions!$C$11+0.25^2/2)*Assumptions!$C$10)/(0.25*SQRT(Assumptions!$C$10))))</f>
        <v>34.2463980427185</v>
      </c>
      <c r="G61" s="89" t="n">
        <f aca="false">Assumptions!$C$7*EXP(-Assumptions!$C$9*Assumptions!$C$10)*NORMSDIST(-(((LN(2750/Assumptions!$C$7)+(Assumptions!$C$9-Assumptions!$C$11+0.3^2/2)*Assumptions!$C$10)/(0.3*SQRT(Assumptions!$C$10)))-0.3*SQRT(Assumptions!$C$10)))-2750*EXP(-Assumptions!$C$11*Assumptions!$C$10)*NORMSDIST(-((LN(2750/Assumptions!$C$7)+(Assumptions!$C$9-Assumptions!$C$11+0.3^2/2)*Assumptions!$C$10)/(0.3*SQRT(Assumptions!$C$10))))</f>
        <v>53.0775243119465</v>
      </c>
      <c r="H61" s="89" t="n">
        <f aca="false">Assumptions!$C$7*EXP(-Assumptions!$C$9*Assumptions!$C$10)*NORMSDIST(-(((LN(2750/Assumptions!$C$7)+(Assumptions!$C$9-Assumptions!$C$11+0.35^2/2)*Assumptions!$C$10)/(0.35*SQRT(Assumptions!$C$10)))-0.35*SQRT(Assumptions!$C$10)))-2750*EXP(-Assumptions!$C$11*Assumptions!$C$10)*NORMSDIST(-((LN(2750/Assumptions!$C$7)+(Assumptions!$C$9-Assumptions!$C$11+0.35^2/2)*Assumptions!$C$10)/(0.35*SQRT(Assumptions!$C$10))))</f>
        <v>73.6683104572421</v>
      </c>
      <c r="I61" s="89" t="n">
        <f aca="false">Assumptions!$C$7*EXP(-Assumptions!$C$9*Assumptions!$C$10)*NORMSDIST(-(((LN(2750/Assumptions!$C$7)+(Assumptions!$C$9-Assumptions!$C$11+0.4^2/2)*Assumptions!$C$10)/(0.4*SQRT(Assumptions!$C$10)))-0.4*SQRT(Assumptions!$C$10)))-2750*EXP(-Assumptions!$C$11*Assumptions!$C$10)*NORMSDIST(-((LN(2750/Assumptions!$C$7)+(Assumptions!$C$9-Assumptions!$C$11+0.4^2/2)*Assumptions!$C$10)/(0.4*SQRT(Assumptions!$C$10))))</f>
        <v>95.4326436876648</v>
      </c>
      <c r="J61" s="89" t="n">
        <f aca="false">Assumptions!$C$7*EXP(-Assumptions!$C$9*Assumptions!$C$10)*NORMSDIST(-(((LN(2750/Assumptions!$C$7)+(Assumptions!$C$9-Assumptions!$C$11+0.45^2/2)*Assumptions!$C$10)/(0.45*SQRT(Assumptions!$C$10)))-0.45*SQRT(Assumptions!$C$10)))-2750*EXP(-Assumptions!$C$11*Assumptions!$C$10)*NORMSDIST(-((LN(2750/Assumptions!$C$7)+(Assumptions!$C$9-Assumptions!$C$11+0.45^2/2)*Assumptions!$C$10)/(0.45*SQRT(Assumptions!$C$10))))</f>
        <v>118.005253108304</v>
      </c>
      <c r="K61" s="89" t="n">
        <f aca="false">Assumptions!$C$7*EXP(-Assumptions!$C$9*Assumptions!$C$10)*NORMSDIST(-(((LN(2750/Assumptions!$C$7)+(Assumptions!$C$9-Assumptions!$C$11+0.5^2/2)*Assumptions!$C$10)/(0.5*SQRT(Assumptions!$C$10)))-0.5*SQRT(Assumptions!$C$10)))-2750*EXP(-Assumptions!$C$11*Assumptions!$C$10)*NORMSDIST(-((LN(2750/Assumptions!$C$7)+(Assumptions!$C$9-Assumptions!$C$11+0.5^2/2)*Assumptions!$C$10)/(0.5*SQRT(Assumptions!$C$10))))</f>
        <v>141.149432518605</v>
      </c>
    </row>
    <row r="62" customFormat="false" ht="15.75" hidden="false" customHeight="true" outlineLevel="0" collapsed="false">
      <c r="B62" s="90" t="n">
        <v>2800</v>
      </c>
      <c r="C62" s="91" t="n">
        <f aca="false">Assumptions!$C$7*EXP(-Assumptions!$C$9*Assumptions!$C$10)*NORMSDIST(-(((LN(2800/Assumptions!$C$7)+(Assumptions!$C$9-Assumptions!$C$11+0.1^2/2)*Assumptions!$C$10)/(0.1*SQRT(Assumptions!$C$10)))-0.1*SQRT(Assumptions!$C$10)))-2800*EXP(-Assumptions!$C$11*Assumptions!$C$10)*NORMSDIST(-((LN(2800/Assumptions!$C$7)+(Assumptions!$C$9-Assumptions!$C$11+0.1^2/2)*Assumptions!$C$10)/(0.1*SQRT(Assumptions!$C$10))))</f>
        <v>0.230673640775931</v>
      </c>
      <c r="D62" s="91" t="n">
        <f aca="false">Assumptions!$C$7*EXP(-Assumptions!$C$9*Assumptions!$C$10)*NORMSDIST(-(((LN(2800/Assumptions!$C$7)+(Assumptions!$C$9-Assumptions!$C$11+0.15^2/2)*Assumptions!$C$10)/(0.15*SQRT(Assumptions!$C$10)))-0.15*SQRT(Assumptions!$C$10)))-2800*EXP(-Assumptions!$C$11*Assumptions!$C$10)*NORMSDIST(-((LN(2800/Assumptions!$C$7)+(Assumptions!$C$9-Assumptions!$C$11+0.15^2/2)*Assumptions!$C$10)/(0.15*SQRT(Assumptions!$C$10))))</f>
        <v>3.64259338857127</v>
      </c>
      <c r="E62" s="91" t="n">
        <f aca="false">Assumptions!$C$7*EXP(-Assumptions!$C$9*Assumptions!$C$10)*NORMSDIST(-(((LN(2800/Assumptions!$C$7)+(Assumptions!$C$9-Assumptions!$C$11+0.2^2/2)*Assumptions!$C$10)/(0.2*SQRT(Assumptions!$C$10)))-0.2*SQRT(Assumptions!$C$10)))-2800*EXP(-Assumptions!$C$11*Assumptions!$C$10)*NORMSDIST(-((LN(2800/Assumptions!$C$7)+(Assumptions!$C$9-Assumptions!$C$11+0.2^2/2)*Assumptions!$C$10)/(0.2*SQRT(Assumptions!$C$10))))</f>
        <v>12.6828882601704</v>
      </c>
      <c r="F62" s="91" t="n">
        <f aca="false">Assumptions!$C$7*EXP(-Assumptions!$C$9*Assumptions!$C$10)*NORMSDIST(-(((LN(2800/Assumptions!$C$7)+(Assumptions!$C$9-Assumptions!$C$11+0.25^2/2)*Assumptions!$C$10)/(0.25*SQRT(Assumptions!$C$10)))-0.25*SQRT(Assumptions!$C$10)))-2800*EXP(-Assumptions!$C$11*Assumptions!$C$10)*NORMSDIST(-((LN(2800/Assumptions!$C$7)+(Assumptions!$C$9-Assumptions!$C$11+0.25^2/2)*Assumptions!$C$10)/(0.25*SQRT(Assumptions!$C$10))))</f>
        <v>26.4104407204072</v>
      </c>
      <c r="G62" s="91" t="n">
        <f aca="false">Assumptions!$C$7*EXP(-Assumptions!$C$9*Assumptions!$C$10)*NORMSDIST(-(((LN(2800/Assumptions!$C$7)+(Assumptions!$C$9-Assumptions!$C$11+0.3^2/2)*Assumptions!$C$10)/(0.3*SQRT(Assumptions!$C$10)))-0.3*SQRT(Assumptions!$C$10)))-2800*EXP(-Assumptions!$C$11*Assumptions!$C$10)*NORMSDIST(-((LN(2800/Assumptions!$C$7)+(Assumptions!$C$9-Assumptions!$C$11+0.3^2/2)*Assumptions!$C$10)/(0.3*SQRT(Assumptions!$C$10))))</f>
        <v>43.3817418547946</v>
      </c>
      <c r="H62" s="91" t="n">
        <f aca="false">Assumptions!$C$7*EXP(-Assumptions!$C$9*Assumptions!$C$10)*NORMSDIST(-(((LN(2800/Assumptions!$C$7)+(Assumptions!$C$9-Assumptions!$C$11+0.35^2/2)*Assumptions!$C$10)/(0.35*SQRT(Assumptions!$C$10)))-0.35*SQRT(Assumptions!$C$10)))-2800*EXP(-Assumptions!$C$11*Assumptions!$C$10)*NORMSDIST(-((LN(2800/Assumptions!$C$7)+(Assumptions!$C$9-Assumptions!$C$11+0.35^2/2)*Assumptions!$C$10)/(0.35*SQRT(Assumptions!$C$10))))</f>
        <v>62.5446617268113</v>
      </c>
      <c r="I62" s="91" t="n">
        <f aca="false">Assumptions!$C$7*EXP(-Assumptions!$C$9*Assumptions!$C$10)*NORMSDIST(-(((LN(2800/Assumptions!$C$7)+(Assumptions!$C$9-Assumptions!$C$11+0.4^2/2)*Assumptions!$C$10)/(0.4*SQRT(Assumptions!$C$10)))-0.4*SQRT(Assumptions!$C$10)))-2800*EXP(-Assumptions!$C$11*Assumptions!$C$10)*NORMSDIST(-((LN(2800/Assumptions!$C$7)+(Assumptions!$C$9-Assumptions!$C$11+0.4^2/2)*Assumptions!$C$10)/(0.4*SQRT(Assumptions!$C$10))))</f>
        <v>83.2122926673848</v>
      </c>
      <c r="J62" s="91" t="n">
        <f aca="false">Assumptions!$C$7*EXP(-Assumptions!$C$9*Assumptions!$C$10)*NORMSDIST(-(((LN(2800/Assumptions!$C$7)+(Assumptions!$C$9-Assumptions!$C$11+0.45^2/2)*Assumptions!$C$10)/(0.45*SQRT(Assumptions!$C$10)))-0.45*SQRT(Assumptions!$C$10)))-2800*EXP(-Assumptions!$C$11*Assumptions!$C$10)*NORMSDIST(-((LN(2800/Assumptions!$C$7)+(Assumptions!$C$9-Assumptions!$C$11+0.45^2/2)*Assumptions!$C$10)/(0.45*SQRT(Assumptions!$C$10))))</f>
        <v>104.938146456882</v>
      </c>
      <c r="K62" s="91" t="n">
        <f aca="false">Assumptions!$C$7*EXP(-Assumptions!$C$9*Assumptions!$C$10)*NORMSDIST(-(((LN(2800/Assumptions!$C$7)+(Assumptions!$C$9-Assumptions!$C$11+0.5^2/2)*Assumptions!$C$10)/(0.5*SQRT(Assumptions!$C$10)))-0.5*SQRT(Assumptions!$C$10)))-2800*EXP(-Assumptions!$C$11*Assumptions!$C$10)*NORMSDIST(-((LN(2800/Assumptions!$C$7)+(Assumptions!$C$9-Assumptions!$C$11+0.5^2/2)*Assumptions!$C$10)/(0.5*SQRT(Assumptions!$C$10))))</f>
        <v>127.425385112292</v>
      </c>
    </row>
    <row r="63" customFormat="false" ht="15.75" hidden="false" customHeight="true" outlineLevel="0" collapsed="false">
      <c r="B63" s="88" t="n">
        <v>2850</v>
      </c>
      <c r="C63" s="89" t="n">
        <f aca="false">Assumptions!$C$7*EXP(-Assumptions!$C$9*Assumptions!$C$10)*NORMSDIST(-(((LN(2850/Assumptions!$C$7)+(Assumptions!$C$9-Assumptions!$C$11+0.1^2/2)*Assumptions!$C$10)/(0.1*SQRT(Assumptions!$C$10)))-0.1*SQRT(Assumptions!$C$10)))-2850*EXP(-Assumptions!$C$11*Assumptions!$C$10)*NORMSDIST(-((LN(2850/Assumptions!$C$7)+(Assumptions!$C$9-Assumptions!$C$11+0.1^2/2)*Assumptions!$C$10)/(0.1*SQRT(Assumptions!$C$10))))</f>
        <v>0.0727013618795818</v>
      </c>
      <c r="D63" s="89" t="n">
        <f aca="false">Assumptions!$C$7*EXP(-Assumptions!$C$9*Assumptions!$C$10)*NORMSDIST(-(((LN(2850/Assumptions!$C$7)+(Assumptions!$C$9-Assumptions!$C$11+0.15^2/2)*Assumptions!$C$10)/(0.15*SQRT(Assumptions!$C$10)))-0.15*SQRT(Assumptions!$C$10)))-2850*EXP(-Assumptions!$C$11*Assumptions!$C$10)*NORMSDIST(-((LN(2850/Assumptions!$C$7)+(Assumptions!$C$9-Assumptions!$C$11+0.15^2/2)*Assumptions!$C$10)/(0.15*SQRT(Assumptions!$C$10))))</f>
        <v>2.02415489552307</v>
      </c>
      <c r="E63" s="89" t="n">
        <f aca="false">Assumptions!$C$7*EXP(-Assumptions!$C$9*Assumptions!$C$10)*NORMSDIST(-(((LN(2850/Assumptions!$C$7)+(Assumptions!$C$9-Assumptions!$C$11+0.2^2/2)*Assumptions!$C$10)/(0.2*SQRT(Assumptions!$C$10)))-0.2*SQRT(Assumptions!$C$10)))-2850*EXP(-Assumptions!$C$11*Assumptions!$C$10)*NORMSDIST(-((LN(2850/Assumptions!$C$7)+(Assumptions!$C$9-Assumptions!$C$11+0.2^2/2)*Assumptions!$C$10)/(0.2*SQRT(Assumptions!$C$10))))</f>
        <v>8.712394819803</v>
      </c>
      <c r="F63" s="89" t="n">
        <f aca="false">Assumptions!$C$7*EXP(-Assumptions!$C$9*Assumptions!$C$10)*NORMSDIST(-(((LN(2850/Assumptions!$C$7)+(Assumptions!$C$9-Assumptions!$C$11+0.25^2/2)*Assumptions!$C$10)/(0.25*SQRT(Assumptions!$C$10)))-0.25*SQRT(Assumptions!$C$10)))-2850*EXP(-Assumptions!$C$11*Assumptions!$C$10)*NORMSDIST(-((LN(2850/Assumptions!$C$7)+(Assumptions!$C$9-Assumptions!$C$11+0.25^2/2)*Assumptions!$C$10)/(0.25*SQRT(Assumptions!$C$10))))</f>
        <v>20.1639986313247</v>
      </c>
      <c r="G63" s="89" t="n">
        <f aca="false">Assumptions!$C$7*EXP(-Assumptions!$C$9*Assumptions!$C$10)*NORMSDIST(-(((LN(2850/Assumptions!$C$7)+(Assumptions!$C$9-Assumptions!$C$11+0.3^2/2)*Assumptions!$C$10)/(0.3*SQRT(Assumptions!$C$10)))-0.3*SQRT(Assumptions!$C$10)))-2850*EXP(-Assumptions!$C$11*Assumptions!$C$10)*NORMSDIST(-((LN(2850/Assumptions!$C$7)+(Assumptions!$C$9-Assumptions!$C$11+0.3^2/2)*Assumptions!$C$10)/(0.3*SQRT(Assumptions!$C$10))))</f>
        <v>35.2347875020964</v>
      </c>
      <c r="H63" s="89" t="n">
        <f aca="false">Assumptions!$C$7*EXP(-Assumptions!$C$9*Assumptions!$C$10)*NORMSDIST(-(((LN(2850/Assumptions!$C$7)+(Assumptions!$C$9-Assumptions!$C$11+0.35^2/2)*Assumptions!$C$10)/(0.35*SQRT(Assumptions!$C$10)))-0.35*SQRT(Assumptions!$C$10)))-2850*EXP(-Assumptions!$C$11*Assumptions!$C$10)*NORMSDIST(-((LN(2850/Assumptions!$C$7)+(Assumptions!$C$9-Assumptions!$C$11+0.35^2/2)*Assumptions!$C$10)/(0.35*SQRT(Assumptions!$C$10))))</f>
        <v>52.8793648920048</v>
      </c>
      <c r="I63" s="89" t="n">
        <f aca="false">Assumptions!$C$7*EXP(-Assumptions!$C$9*Assumptions!$C$10)*NORMSDIST(-(((LN(2850/Assumptions!$C$7)+(Assumptions!$C$9-Assumptions!$C$11+0.4^2/2)*Assumptions!$C$10)/(0.4*SQRT(Assumptions!$C$10)))-0.4*SQRT(Assumptions!$C$10)))-2850*EXP(-Assumptions!$C$11*Assumptions!$C$10)*NORMSDIST(-((LN(2850/Assumptions!$C$7)+(Assumptions!$C$9-Assumptions!$C$11+0.4^2/2)*Assumptions!$C$10)/(0.4*SQRT(Assumptions!$C$10))))</f>
        <v>72.3476301934715</v>
      </c>
      <c r="J63" s="89" t="n">
        <f aca="false">Assumptions!$C$7*EXP(-Assumptions!$C$9*Assumptions!$C$10)*NORMSDIST(-(((LN(2850/Assumptions!$C$7)+(Assumptions!$C$9-Assumptions!$C$11+0.45^2/2)*Assumptions!$C$10)/(0.45*SQRT(Assumptions!$C$10)))-0.45*SQRT(Assumptions!$C$10)))-2850*EXP(-Assumptions!$C$11*Assumptions!$C$10)*NORMSDIST(-((LN(2850/Assumptions!$C$7)+(Assumptions!$C$9-Assumptions!$C$11+0.45^2/2)*Assumptions!$C$10)/(0.45*SQRT(Assumptions!$C$10))))</f>
        <v>93.1265380995397</v>
      </c>
      <c r="K63" s="89" t="n">
        <f aca="false">Assumptions!$C$7*EXP(-Assumptions!$C$9*Assumptions!$C$10)*NORMSDIST(-(((LN(2850/Assumptions!$C$7)+(Assumptions!$C$9-Assumptions!$C$11+0.5^2/2)*Assumptions!$C$10)/(0.5*SQRT(Assumptions!$C$10)))-0.5*SQRT(Assumptions!$C$10)))-2850*EXP(-Assumptions!$C$11*Assumptions!$C$10)*NORMSDIST(-((LN(2850/Assumptions!$C$7)+(Assumptions!$C$9-Assumptions!$C$11+0.5^2/2)*Assumptions!$C$10)/(0.5*SQRT(Assumptions!$C$10))))</f>
        <v>114.864315201926</v>
      </c>
    </row>
    <row r="64" customFormat="false" ht="15.75" hidden="false" customHeight="true" outlineLevel="0" collapsed="false">
      <c r="B64" s="90" t="n">
        <v>2900</v>
      </c>
      <c r="C64" s="91" t="n">
        <f aca="false">Assumptions!$C$7*EXP(-Assumptions!$C$9*Assumptions!$C$10)*NORMSDIST(-(((LN(2900/Assumptions!$C$7)+(Assumptions!$C$9-Assumptions!$C$11+0.1^2/2)*Assumptions!$C$10)/(0.1*SQRT(Assumptions!$C$10)))-0.1*SQRT(Assumptions!$C$10)))-2900*EXP(-Assumptions!$C$11*Assumptions!$C$10)*NORMSDIST(-((LN(2900/Assumptions!$C$7)+(Assumptions!$C$9-Assumptions!$C$11+0.1^2/2)*Assumptions!$C$10)/(0.1*SQRT(Assumptions!$C$10))))</f>
        <v>0.0210097237477211</v>
      </c>
      <c r="D64" s="91" t="n">
        <f aca="false">Assumptions!$C$7*EXP(-Assumptions!$C$9*Assumptions!$C$10)*NORMSDIST(-(((LN(2900/Assumptions!$C$7)+(Assumptions!$C$9-Assumptions!$C$11+0.15^2/2)*Assumptions!$C$10)/(0.15*SQRT(Assumptions!$C$10)))-0.15*SQRT(Assumptions!$C$10)))-2900*EXP(-Assumptions!$C$11*Assumptions!$C$10)*NORMSDIST(-((LN(2900/Assumptions!$C$7)+(Assumptions!$C$9-Assumptions!$C$11+0.15^2/2)*Assumptions!$C$10)/(0.15*SQRT(Assumptions!$C$10))))</f>
        <v>1.08722776589625</v>
      </c>
      <c r="E64" s="91" t="n">
        <f aca="false">Assumptions!$C$7*EXP(-Assumptions!$C$9*Assumptions!$C$10)*NORMSDIST(-(((LN(2900/Assumptions!$C$7)+(Assumptions!$C$9-Assumptions!$C$11+0.2^2/2)*Assumptions!$C$10)/(0.2*SQRT(Assumptions!$C$10)))-0.2*SQRT(Assumptions!$C$10)))-2900*EXP(-Assumptions!$C$11*Assumptions!$C$10)*NORMSDIST(-((LN(2900/Assumptions!$C$7)+(Assumptions!$C$9-Assumptions!$C$11+0.2^2/2)*Assumptions!$C$10)/(0.2*SQRT(Assumptions!$C$10))))</f>
        <v>5.88393357176625</v>
      </c>
      <c r="F64" s="91" t="n">
        <f aca="false">Assumptions!$C$7*EXP(-Assumptions!$C$9*Assumptions!$C$10)*NORMSDIST(-(((LN(2900/Assumptions!$C$7)+(Assumptions!$C$9-Assumptions!$C$11+0.25^2/2)*Assumptions!$C$10)/(0.25*SQRT(Assumptions!$C$10)))-0.25*SQRT(Assumptions!$C$10)))-2900*EXP(-Assumptions!$C$11*Assumptions!$C$10)*NORMSDIST(-((LN(2900/Assumptions!$C$7)+(Assumptions!$C$9-Assumptions!$C$11+0.25^2/2)*Assumptions!$C$10)/(0.25*SQRT(Assumptions!$C$10))))</f>
        <v>15.245310386179</v>
      </c>
      <c r="G64" s="91" t="n">
        <f aca="false">Assumptions!$C$7*EXP(-Assumptions!$C$9*Assumptions!$C$10)*NORMSDIST(-(((LN(2900/Assumptions!$C$7)+(Assumptions!$C$9-Assumptions!$C$11+0.3^2/2)*Assumptions!$C$10)/(0.3*SQRT(Assumptions!$C$10)))-0.3*SQRT(Assumptions!$C$10)))-2900*EXP(-Assumptions!$C$11*Assumptions!$C$10)*NORMSDIST(-((LN(2900/Assumptions!$C$7)+(Assumptions!$C$9-Assumptions!$C$11+0.3^2/2)*Assumptions!$C$10)/(0.3*SQRT(Assumptions!$C$10))))</f>
        <v>28.4435532071766</v>
      </c>
      <c r="H64" s="91" t="n">
        <f aca="false">Assumptions!$C$7*EXP(-Assumptions!$C$9*Assumptions!$C$10)*NORMSDIST(-(((LN(2900/Assumptions!$C$7)+(Assumptions!$C$9-Assumptions!$C$11+0.35^2/2)*Assumptions!$C$10)/(0.35*SQRT(Assumptions!$C$10)))-0.35*SQRT(Assumptions!$C$10)))-2900*EXP(-Assumptions!$C$11*Assumptions!$C$10)*NORMSDIST(-((LN(2900/Assumptions!$C$7)+(Assumptions!$C$9-Assumptions!$C$11+0.35^2/2)*Assumptions!$C$10)/(0.35*SQRT(Assumptions!$C$10))))</f>
        <v>44.5271599058491</v>
      </c>
      <c r="I64" s="91" t="n">
        <f aca="false">Assumptions!$C$7*EXP(-Assumptions!$C$9*Assumptions!$C$10)*NORMSDIST(-(((LN(2900/Assumptions!$C$7)+(Assumptions!$C$9-Assumptions!$C$11+0.4^2/2)*Assumptions!$C$10)/(0.4*SQRT(Assumptions!$C$10)))-0.4*SQRT(Assumptions!$C$10)))-2900*EXP(-Assumptions!$C$11*Assumptions!$C$10)*NORMSDIST(-((LN(2900/Assumptions!$C$7)+(Assumptions!$C$9-Assumptions!$C$11+0.4^2/2)*Assumptions!$C$10)/(0.4*SQRT(Assumptions!$C$10))))</f>
        <v>62.7262243204184</v>
      </c>
      <c r="J64" s="91" t="n">
        <f aca="false">Assumptions!$C$7*EXP(-Assumptions!$C$9*Assumptions!$C$10)*NORMSDIST(-(((LN(2900/Assumptions!$C$7)+(Assumptions!$C$9-Assumptions!$C$11+0.45^2/2)*Assumptions!$C$10)/(0.45*SQRT(Assumptions!$C$10)))-0.45*SQRT(Assumptions!$C$10)))-2900*EXP(-Assumptions!$C$11*Assumptions!$C$10)*NORMSDIST(-((LN(2900/Assumptions!$C$7)+(Assumptions!$C$9-Assumptions!$C$11+0.45^2/2)*Assumptions!$C$10)/(0.45*SQRT(Assumptions!$C$10))))</f>
        <v>82.4808880920456</v>
      </c>
      <c r="K64" s="91" t="n">
        <f aca="false">Assumptions!$C$7*EXP(-Assumptions!$C$9*Assumptions!$C$10)*NORMSDIST(-(((LN(2900/Assumptions!$C$7)+(Assumptions!$C$9-Assumptions!$C$11+0.5^2/2)*Assumptions!$C$10)/(0.5*SQRT(Assumptions!$C$10)))-0.5*SQRT(Assumptions!$C$10)))-2900*EXP(-Assumptions!$C$11*Assumptions!$C$10)*NORMSDIST(-((LN(2900/Assumptions!$C$7)+(Assumptions!$C$9-Assumptions!$C$11+0.5^2/2)*Assumptions!$C$10)/(0.5*SQRT(Assumptions!$C$10))))</f>
        <v>103.393052437658</v>
      </c>
    </row>
    <row r="65" customFormat="false" ht="15.75" hidden="false" customHeight="true" outlineLevel="0" collapsed="false">
      <c r="B65" s="88" t="n">
        <v>2950</v>
      </c>
      <c r="C65" s="89" t="n">
        <f aca="false">Assumptions!$C$7*EXP(-Assumptions!$C$9*Assumptions!$C$10)*NORMSDIST(-(((LN(2950/Assumptions!$C$7)+(Assumptions!$C$9-Assumptions!$C$11+0.1^2/2)*Assumptions!$C$10)/(0.1*SQRT(Assumptions!$C$10)))-0.1*SQRT(Assumptions!$C$10)))-2950*EXP(-Assumptions!$C$11*Assumptions!$C$10)*NORMSDIST(-((LN(2950/Assumptions!$C$7)+(Assumptions!$C$9-Assumptions!$C$11+0.1^2/2)*Assumptions!$C$10)/(0.1*SQRT(Assumptions!$C$10))))</f>
        <v>0.0055834919548387</v>
      </c>
      <c r="D65" s="89" t="n">
        <f aca="false">Assumptions!$C$7*EXP(-Assumptions!$C$9*Assumptions!$C$10)*NORMSDIST(-(((LN(2950/Assumptions!$C$7)+(Assumptions!$C$9-Assumptions!$C$11+0.15^2/2)*Assumptions!$C$10)/(0.15*SQRT(Assumptions!$C$10)))-0.15*SQRT(Assumptions!$C$10)))-2950*EXP(-Assumptions!$C$11*Assumptions!$C$10)*NORMSDIST(-((LN(2950/Assumptions!$C$7)+(Assumptions!$C$9-Assumptions!$C$11+0.15^2/2)*Assumptions!$C$10)/(0.15*SQRT(Assumptions!$C$10))))</f>
        <v>0.565036094703391</v>
      </c>
      <c r="E65" s="89" t="n">
        <f aca="false">Assumptions!$C$7*EXP(-Assumptions!$C$9*Assumptions!$C$10)*NORMSDIST(-(((LN(2950/Assumptions!$C$7)+(Assumptions!$C$9-Assumptions!$C$11+0.2^2/2)*Assumptions!$C$10)/(0.2*SQRT(Assumptions!$C$10)))-0.2*SQRT(Assumptions!$C$10)))-2950*EXP(-Assumptions!$C$11*Assumptions!$C$10)*NORMSDIST(-((LN(2950/Assumptions!$C$7)+(Assumptions!$C$9-Assumptions!$C$11+0.2^2/2)*Assumptions!$C$10)/(0.2*SQRT(Assumptions!$C$10))))</f>
        <v>3.9085910265932</v>
      </c>
      <c r="F65" s="89" t="n">
        <f aca="false">Assumptions!$C$7*EXP(-Assumptions!$C$9*Assumptions!$C$10)*NORMSDIST(-(((LN(2950/Assumptions!$C$7)+(Assumptions!$C$9-Assumptions!$C$11+0.25^2/2)*Assumptions!$C$10)/(0.25*SQRT(Assumptions!$C$10)))-0.25*SQRT(Assumptions!$C$10)))-2950*EXP(-Assumptions!$C$11*Assumptions!$C$10)*NORMSDIST(-((LN(2950/Assumptions!$C$7)+(Assumptions!$C$9-Assumptions!$C$11+0.25^2/2)*Assumptions!$C$10)/(0.25*SQRT(Assumptions!$C$10))))</f>
        <v>11.417703474083</v>
      </c>
      <c r="G65" s="89" t="n">
        <f aca="false">Assumptions!$C$7*EXP(-Assumptions!$C$9*Assumptions!$C$10)*NORMSDIST(-(((LN(2950/Assumptions!$C$7)+(Assumptions!$C$9-Assumptions!$C$11+0.3^2/2)*Assumptions!$C$10)/(0.3*SQRT(Assumptions!$C$10)))-0.3*SQRT(Assumptions!$C$10)))-2950*EXP(-Assumptions!$C$11*Assumptions!$C$10)*NORMSDIST(-((LN(2950/Assumptions!$C$7)+(Assumptions!$C$9-Assumptions!$C$11+0.3^2/2)*Assumptions!$C$10)/(0.3*SQRT(Assumptions!$C$10))))</f>
        <v>22.8257464904376</v>
      </c>
      <c r="H65" s="89" t="n">
        <f aca="false">Assumptions!$C$7*EXP(-Assumptions!$C$9*Assumptions!$C$10)*NORMSDIST(-(((LN(2950/Assumptions!$C$7)+(Assumptions!$C$9-Assumptions!$C$11+0.35^2/2)*Assumptions!$C$10)/(0.35*SQRT(Assumptions!$C$10)))-0.35*SQRT(Assumptions!$C$10)))-2950*EXP(-Assumptions!$C$11*Assumptions!$C$10)*NORMSDIST(-((LN(2950/Assumptions!$C$7)+(Assumptions!$C$9-Assumptions!$C$11+0.35^2/2)*Assumptions!$C$10)/(0.35*SQRT(Assumptions!$C$10))))</f>
        <v>37.3476753941392</v>
      </c>
      <c r="I65" s="89" t="n">
        <f aca="false">Assumptions!$C$7*EXP(-Assumptions!$C$9*Assumptions!$C$10)*NORMSDIST(-(((LN(2950/Assumptions!$C$7)+(Assumptions!$C$9-Assumptions!$C$11+0.4^2/2)*Assumptions!$C$10)/(0.4*SQRT(Assumptions!$C$10)))-0.4*SQRT(Assumptions!$C$10)))-2950*EXP(-Assumptions!$C$11*Assumptions!$C$10)*NORMSDIST(-((LN(2950/Assumptions!$C$7)+(Assumptions!$C$9-Assumptions!$C$11+0.4^2/2)*Assumptions!$C$10)/(0.4*SQRT(Assumptions!$C$10))))</f>
        <v>54.2380090211468</v>
      </c>
      <c r="J65" s="89" t="n">
        <f aca="false">Assumptions!$C$7*EXP(-Assumptions!$C$9*Assumptions!$C$10)*NORMSDIST(-(((LN(2950/Assumptions!$C$7)+(Assumptions!$C$9-Assumptions!$C$11+0.45^2/2)*Assumptions!$C$10)/(0.45*SQRT(Assumptions!$C$10)))-0.45*SQRT(Assumptions!$C$10)))-2950*EXP(-Assumptions!$C$11*Assumptions!$C$10)*NORMSDIST(-((LN(2950/Assumptions!$C$7)+(Assumptions!$C$9-Assumptions!$C$11+0.45^2/2)*Assumptions!$C$10)/(0.45*SQRT(Assumptions!$C$10))))</f>
        <v>72.912921334949</v>
      </c>
      <c r="K65" s="89" t="n">
        <f aca="false">Assumptions!$C$7*EXP(-Assumptions!$C$9*Assumptions!$C$10)*NORMSDIST(-(((LN(2950/Assumptions!$C$7)+(Assumptions!$C$9-Assumptions!$C$11+0.5^2/2)*Assumptions!$C$10)/(0.5*SQRT(Assumptions!$C$10)))-0.5*SQRT(Assumptions!$C$10)))-2950*EXP(-Assumptions!$C$11*Assumptions!$C$10)*NORMSDIST(-((LN(2950/Assumptions!$C$7)+(Assumptions!$C$9-Assumptions!$C$11+0.5^2/2)*Assumptions!$C$10)/(0.5*SQRT(Assumptions!$C$10))))</f>
        <v>92.9392051235269</v>
      </c>
    </row>
    <row r="66" customFormat="false" ht="15.75" hidden="false" customHeight="true" outlineLevel="0" collapsed="false">
      <c r="B66" s="90" t="n">
        <v>3000</v>
      </c>
      <c r="C66" s="91" t="n">
        <f aca="false">Assumptions!$C$7*EXP(-Assumptions!$C$9*Assumptions!$C$10)*NORMSDIST(-(((LN(3000/Assumptions!$C$7)+(Assumptions!$C$9-Assumptions!$C$11+0.1^2/2)*Assumptions!$C$10)/(0.1*SQRT(Assumptions!$C$10)))-0.1*SQRT(Assumptions!$C$10)))-3000*EXP(-Assumptions!$C$11*Assumptions!$C$10)*NORMSDIST(-((LN(3000/Assumptions!$C$7)+(Assumptions!$C$9-Assumptions!$C$11+0.1^2/2)*Assumptions!$C$10)/(0.1*SQRT(Assumptions!$C$10))))</f>
        <v>0.00136880343298693</v>
      </c>
      <c r="D66" s="91" t="n">
        <f aca="false">Assumptions!$C$7*EXP(-Assumptions!$C$9*Assumptions!$C$10)*NORMSDIST(-(((LN(3000/Assumptions!$C$7)+(Assumptions!$C$9-Assumptions!$C$11+0.15^2/2)*Assumptions!$C$10)/(0.15*SQRT(Assumptions!$C$10)))-0.15*SQRT(Assumptions!$C$10)))-3000*EXP(-Assumptions!$C$11*Assumptions!$C$10)*NORMSDIST(-((LN(3000/Assumptions!$C$7)+(Assumptions!$C$9-Assumptions!$C$11+0.15^2/2)*Assumptions!$C$10)/(0.15*SQRT(Assumptions!$C$10))))</f>
        <v>0.284428932260635</v>
      </c>
      <c r="E66" s="91" t="n">
        <f aca="false">Assumptions!$C$7*EXP(-Assumptions!$C$9*Assumptions!$C$10)*NORMSDIST(-(((LN(3000/Assumptions!$C$7)+(Assumptions!$C$9-Assumptions!$C$11+0.2^2/2)*Assumptions!$C$10)/(0.2*SQRT(Assumptions!$C$10)))-0.2*SQRT(Assumptions!$C$10)))-3000*EXP(-Assumptions!$C$11*Assumptions!$C$10)*NORMSDIST(-((LN(3000/Assumptions!$C$7)+(Assumptions!$C$9-Assumptions!$C$11+0.2^2/2)*Assumptions!$C$10)/(0.2*SQRT(Assumptions!$C$10))))</f>
        <v>2.5551545735273</v>
      </c>
      <c r="F66" s="91" t="n">
        <f aca="false">Assumptions!$C$7*EXP(-Assumptions!$C$9*Assumptions!$C$10)*NORMSDIST(-(((LN(3000/Assumptions!$C$7)+(Assumptions!$C$9-Assumptions!$C$11+0.25^2/2)*Assumptions!$C$10)/(0.25*SQRT(Assumptions!$C$10)))-0.25*SQRT(Assumptions!$C$10)))-3000*EXP(-Assumptions!$C$11*Assumptions!$C$10)*NORMSDIST(-((LN(3000/Assumptions!$C$7)+(Assumptions!$C$9-Assumptions!$C$11+0.25^2/2)*Assumptions!$C$10)/(0.25*SQRT(Assumptions!$C$10))))</f>
        <v>8.472908916987</v>
      </c>
      <c r="G66" s="91" t="n">
        <f aca="false">Assumptions!$C$7*EXP(-Assumptions!$C$9*Assumptions!$C$10)*NORMSDIST(-(((LN(3000/Assumptions!$C$7)+(Assumptions!$C$9-Assumptions!$C$11+0.3^2/2)*Assumptions!$C$10)/(0.3*SQRT(Assumptions!$C$10)))-0.3*SQRT(Assumptions!$C$10)))-3000*EXP(-Assumptions!$C$11*Assumptions!$C$10)*NORMSDIST(-((LN(3000/Assumptions!$C$7)+(Assumptions!$C$9-Assumptions!$C$11+0.3^2/2)*Assumptions!$C$10)/(0.3*SQRT(Assumptions!$C$10))))</f>
        <v>18.2128513465071</v>
      </c>
      <c r="H66" s="91" t="n">
        <f aca="false">Assumptions!$C$7*EXP(-Assumptions!$C$9*Assumptions!$C$10)*NORMSDIST(-(((LN(3000/Assumptions!$C$7)+(Assumptions!$C$9-Assumptions!$C$11+0.35^2/2)*Assumptions!$C$10)/(0.35*SQRT(Assumptions!$C$10)))-0.35*SQRT(Assumptions!$C$10)))-3000*EXP(-Assumptions!$C$11*Assumptions!$C$10)*NORMSDIST(-((LN(3000/Assumptions!$C$7)+(Assumptions!$C$9-Assumptions!$C$11+0.35^2/2)*Assumptions!$C$10)/(0.35*SQRT(Assumptions!$C$10))))</f>
        <v>31.2075227590001</v>
      </c>
      <c r="I66" s="91" t="n">
        <f aca="false">Assumptions!$C$7*EXP(-Assumptions!$C$9*Assumptions!$C$10)*NORMSDIST(-(((LN(3000/Assumptions!$C$7)+(Assumptions!$C$9-Assumptions!$C$11+0.4^2/2)*Assumptions!$C$10)/(0.4*SQRT(Assumptions!$C$10)))-0.4*SQRT(Assumptions!$C$10)))-3000*EXP(-Assumptions!$C$11*Assumptions!$C$10)*NORMSDIST(-((LN(3000/Assumptions!$C$7)+(Assumptions!$C$9-Assumptions!$C$11+0.4^2/2)*Assumptions!$C$10)/(0.4*SQRT(Assumptions!$C$10))))</f>
        <v>46.7767058519047</v>
      </c>
      <c r="J66" s="91" t="n">
        <f aca="false">Assumptions!$C$7*EXP(-Assumptions!$C$9*Assumptions!$C$10)*NORMSDIST(-(((LN(3000/Assumptions!$C$7)+(Assumptions!$C$9-Assumptions!$C$11+0.45^2/2)*Assumptions!$C$10)/(0.45*SQRT(Assumptions!$C$10)))-0.45*SQRT(Assumptions!$C$10)))-3000*EXP(-Assumptions!$C$11*Assumptions!$C$10)*NORMSDIST(-((LN(3000/Assumptions!$C$7)+(Assumptions!$C$9-Assumptions!$C$11+0.45^2/2)*Assumptions!$C$10)/(0.45*SQRT(Assumptions!$C$10))))</f>
        <v>64.3365968758454</v>
      </c>
      <c r="K66" s="91" t="n">
        <f aca="false">Assumptions!$C$7*EXP(-Assumptions!$C$9*Assumptions!$C$10)*NORMSDIST(-(((LN(3000/Assumptions!$C$7)+(Assumptions!$C$9-Assumptions!$C$11+0.5^2/2)*Assumptions!$C$10)/(0.5*SQRT(Assumptions!$C$10)))-0.5*SQRT(Assumptions!$C$10)))-3000*EXP(-Assumptions!$C$11*Assumptions!$C$10)*NORMSDIST(-((LN(3000/Assumptions!$C$7)+(Assumptions!$C$9-Assumptions!$C$11+0.5^2/2)*Assumptions!$C$10)/(0.5*SQRT(Assumptions!$C$10))))</f>
        <v>83.4318323228431</v>
      </c>
    </row>
    <row r="67" customFormat="false" ht="15.75" hidden="false" customHeight="true" outlineLevel="0" collapsed="false">
      <c r="B67" s="88" t="n">
        <v>3050</v>
      </c>
      <c r="C67" s="89" t="n">
        <f aca="false">Assumptions!$C$7*EXP(-Assumptions!$C$9*Assumptions!$C$10)*NORMSDIST(-(((LN(3050/Assumptions!$C$7)+(Assumptions!$C$9-Assumptions!$C$11+0.1^2/2)*Assumptions!$C$10)/(0.1*SQRT(Assumptions!$C$10)))-0.1*SQRT(Assumptions!$C$10)))-3050*EXP(-Assumptions!$C$11*Assumptions!$C$10)*NORMSDIST(-((LN(3050/Assumptions!$C$7)+(Assumptions!$C$9-Assumptions!$C$11+0.1^2/2)*Assumptions!$C$10)/(0.1*SQRT(Assumptions!$C$10))))</f>
        <v>0.000310526848468148</v>
      </c>
      <c r="D67" s="89" t="n">
        <f aca="false">Assumptions!$C$7*EXP(-Assumptions!$C$9*Assumptions!$C$10)*NORMSDIST(-(((LN(3050/Assumptions!$C$7)+(Assumptions!$C$9-Assumptions!$C$11+0.15^2/2)*Assumptions!$C$10)/(0.15*SQRT(Assumptions!$C$10)))-0.15*SQRT(Assumptions!$C$10)))-3050*EXP(-Assumptions!$C$11*Assumptions!$C$10)*NORMSDIST(-((LN(3050/Assumptions!$C$7)+(Assumptions!$C$9-Assumptions!$C$11+0.15^2/2)*Assumptions!$C$10)/(0.15*SQRT(Assumptions!$C$10))))</f>
        <v>0.138833293603722</v>
      </c>
      <c r="E67" s="89" t="n">
        <f aca="false">Assumptions!$C$7*EXP(-Assumptions!$C$9*Assumptions!$C$10)*NORMSDIST(-(((LN(3050/Assumptions!$C$7)+(Assumptions!$C$9-Assumptions!$C$11+0.2^2/2)*Assumptions!$C$10)/(0.2*SQRT(Assumptions!$C$10)))-0.2*SQRT(Assumptions!$C$10)))-3050*EXP(-Assumptions!$C$11*Assumptions!$C$10)*NORMSDIST(-((LN(3050/Assumptions!$C$7)+(Assumptions!$C$9-Assumptions!$C$11+0.2^2/2)*Assumptions!$C$10)/(0.2*SQRT(Assumptions!$C$10))))</f>
        <v>1.64470445430612</v>
      </c>
      <c r="F67" s="89" t="n">
        <f aca="false">Assumptions!$C$7*EXP(-Assumptions!$C$9*Assumptions!$C$10)*NORMSDIST(-(((LN(3050/Assumptions!$C$7)+(Assumptions!$C$9-Assumptions!$C$11+0.25^2/2)*Assumptions!$C$10)/(0.25*SQRT(Assumptions!$C$10)))-0.25*SQRT(Assumptions!$C$10)))-3050*EXP(-Assumptions!$C$11*Assumptions!$C$10)*NORMSDIST(-((LN(3050/Assumptions!$C$7)+(Assumptions!$C$9-Assumptions!$C$11+0.25^2/2)*Assumptions!$C$10)/(0.25*SQRT(Assumptions!$C$10))))</f>
        <v>6.2320167677601</v>
      </c>
      <c r="G67" s="89" t="n">
        <f aca="false">Assumptions!$C$7*EXP(-Assumptions!$C$9*Assumptions!$C$10)*NORMSDIST(-(((LN(3050/Assumptions!$C$7)+(Assumptions!$C$9-Assumptions!$C$11+0.3^2/2)*Assumptions!$C$10)/(0.3*SQRT(Assumptions!$C$10)))-0.3*SQRT(Assumptions!$C$10)))-3050*EXP(-Assumptions!$C$11*Assumptions!$C$10)*NORMSDIST(-((LN(3050/Assumptions!$C$7)+(Assumptions!$C$9-Assumptions!$C$11+0.3^2/2)*Assumptions!$C$10)/(0.3*SQRT(Assumptions!$C$10))))</f>
        <v>14.4519449999194</v>
      </c>
      <c r="H67" s="89" t="n">
        <f aca="false">Assumptions!$C$7*EXP(-Assumptions!$C$9*Assumptions!$C$10)*NORMSDIST(-(((LN(3050/Assumptions!$C$7)+(Assumptions!$C$9-Assumptions!$C$11+0.35^2/2)*Assumptions!$C$10)/(0.35*SQRT(Assumptions!$C$10)))-0.35*SQRT(Assumptions!$C$10)))-3050*EXP(-Assumptions!$C$11*Assumptions!$C$10)*NORMSDIST(-((LN(3050/Assumptions!$C$7)+(Assumptions!$C$9-Assumptions!$C$11+0.35^2/2)*Assumptions!$C$10)/(0.35*SQRT(Assumptions!$C$10))))</f>
        <v>25.9818115177648</v>
      </c>
      <c r="I67" s="89" t="n">
        <f aca="false">Assumptions!$C$7*EXP(-Assumptions!$C$9*Assumptions!$C$10)*NORMSDIST(-(((LN(3050/Assumptions!$C$7)+(Assumptions!$C$9-Assumptions!$C$11+0.4^2/2)*Assumptions!$C$10)/(0.4*SQRT(Assumptions!$C$10)))-0.4*SQRT(Assumptions!$C$10)))-3050*EXP(-Assumptions!$C$11*Assumptions!$C$10)*NORMSDIST(-((LN(3050/Assumptions!$C$7)+(Assumptions!$C$9-Assumptions!$C$11+0.4^2/2)*Assumptions!$C$10)/(0.4*SQRT(Assumptions!$C$10))))</f>
        <v>40.2409302068448</v>
      </c>
      <c r="J67" s="89" t="n">
        <f aca="false">Assumptions!$C$7*EXP(-Assumptions!$C$9*Assumptions!$C$10)*NORMSDIST(-(((LN(3050/Assumptions!$C$7)+(Assumptions!$C$9-Assumptions!$C$11+0.45^2/2)*Assumptions!$C$10)/(0.45*SQRT(Assumptions!$C$10)))-0.45*SQRT(Assumptions!$C$10)))-3050*EXP(-Assumptions!$C$11*Assumptions!$C$10)*NORMSDIST(-((LN(3050/Assumptions!$C$7)+(Assumptions!$C$9-Assumptions!$C$11+0.45^2/2)*Assumptions!$C$10)/(0.45*SQRT(Assumptions!$C$10))))</f>
        <v>56.6688921272163</v>
      </c>
      <c r="K67" s="89" t="n">
        <f aca="false">Assumptions!$C$7*EXP(-Assumptions!$C$9*Assumptions!$C$10)*NORMSDIST(-(((LN(3050/Assumptions!$C$7)+(Assumptions!$C$9-Assumptions!$C$11+0.5^2/2)*Assumptions!$C$10)/(0.5*SQRT(Assumptions!$C$10)))-0.5*SQRT(Assumptions!$C$10)))-3050*EXP(-Assumptions!$C$11*Assumptions!$C$10)*NORMSDIST(-((LN(3050/Assumptions!$C$7)+(Assumptions!$C$9-Assumptions!$C$11+0.5^2/2)*Assumptions!$C$10)/(0.5*SQRT(Assumptions!$C$10))))</f>
        <v>74.8020001129655</v>
      </c>
    </row>
    <row r="68" customFormat="false" ht="15.75" hidden="false" customHeight="true" outlineLevel="0" collapsed="false">
      <c r="B68" s="90" t="n">
        <v>3100</v>
      </c>
      <c r="C68" s="91" t="n">
        <f aca="false">Assumptions!$C$7*EXP(-Assumptions!$C$9*Assumptions!$C$10)*NORMSDIST(-(((LN(3100/Assumptions!$C$7)+(Assumptions!$C$9-Assumptions!$C$11+0.1^2/2)*Assumptions!$C$10)/(0.1*SQRT(Assumptions!$C$10)))-0.1*SQRT(Assumptions!$C$10)))-3100*EXP(-Assumptions!$C$11*Assumptions!$C$10)*NORMSDIST(-((LN(3100/Assumptions!$C$7)+(Assumptions!$C$9-Assumptions!$C$11+0.1^2/2)*Assumptions!$C$10)/(0.1*SQRT(Assumptions!$C$10))))</f>
        <v>6.53971494261026E-005</v>
      </c>
      <c r="D68" s="91" t="n">
        <f aca="false">Assumptions!$C$7*EXP(-Assumptions!$C$9*Assumptions!$C$10)*NORMSDIST(-(((LN(3100/Assumptions!$C$7)+(Assumptions!$C$9-Assumptions!$C$11+0.15^2/2)*Assumptions!$C$10)/(0.15*SQRT(Assumptions!$C$10)))-0.15*SQRT(Assumptions!$C$10)))-3100*EXP(-Assumptions!$C$11*Assumptions!$C$10)*NORMSDIST(-((LN(3100/Assumptions!$C$7)+(Assumptions!$C$9-Assumptions!$C$11+0.15^2/2)*Assumptions!$C$10)/(0.15*SQRT(Assumptions!$C$10))))</f>
        <v>0.065784715464285</v>
      </c>
      <c r="E68" s="91" t="n">
        <f aca="false">Assumptions!$C$7*EXP(-Assumptions!$C$9*Assumptions!$C$10)*NORMSDIST(-(((LN(3100/Assumptions!$C$7)+(Assumptions!$C$9-Assumptions!$C$11+0.2^2/2)*Assumptions!$C$10)/(0.2*SQRT(Assumptions!$C$10)))-0.2*SQRT(Assumptions!$C$10)))-3100*EXP(-Assumptions!$C$11*Assumptions!$C$10)*NORMSDIST(-((LN(3100/Assumptions!$C$7)+(Assumptions!$C$9-Assumptions!$C$11+0.2^2/2)*Assumptions!$C$10)/(0.2*SQRT(Assumptions!$C$10))))</f>
        <v>1.04295487427948</v>
      </c>
      <c r="F68" s="91" t="n">
        <f aca="false">Assumptions!$C$7*EXP(-Assumptions!$C$9*Assumptions!$C$10)*NORMSDIST(-(((LN(3100/Assumptions!$C$7)+(Assumptions!$C$9-Assumptions!$C$11+0.25^2/2)*Assumptions!$C$10)/(0.25*SQRT(Assumptions!$C$10)))-0.25*SQRT(Assumptions!$C$10)))-3100*EXP(-Assumptions!$C$11*Assumptions!$C$10)*NORMSDIST(-((LN(3100/Assumptions!$C$7)+(Assumptions!$C$9-Assumptions!$C$11+0.25^2/2)*Assumptions!$C$10)/(0.25*SQRT(Assumptions!$C$10))))</f>
        <v>4.5446380172807</v>
      </c>
      <c r="G68" s="91" t="n">
        <f aca="false">Assumptions!$C$7*EXP(-Assumptions!$C$9*Assumptions!$C$10)*NORMSDIST(-(((LN(3100/Assumptions!$C$7)+(Assumptions!$C$9-Assumptions!$C$11+0.3^2/2)*Assumptions!$C$10)/(0.3*SQRT(Assumptions!$C$10)))-0.3*SQRT(Assumptions!$C$10)))-3100*EXP(-Assumptions!$C$11*Assumptions!$C$10)*NORMSDIST(-((LN(3100/Assumptions!$C$7)+(Assumptions!$C$9-Assumptions!$C$11+0.3^2/2)*Assumptions!$C$10)/(0.3*SQRT(Assumptions!$C$10))))</f>
        <v>11.4065363135398</v>
      </c>
      <c r="H68" s="91" t="n">
        <f aca="false">Assumptions!$C$7*EXP(-Assumptions!$C$9*Assumptions!$C$10)*NORMSDIST(-(((LN(3100/Assumptions!$C$7)+(Assumptions!$C$9-Assumptions!$C$11+0.35^2/2)*Assumptions!$C$10)/(0.35*SQRT(Assumptions!$C$10)))-0.35*SQRT(Assumptions!$C$10)))-3100*EXP(-Assumptions!$C$11*Assumptions!$C$10)*NORMSDIST(-((LN(3100/Assumptions!$C$7)+(Assumptions!$C$9-Assumptions!$C$11+0.35^2/2)*Assumptions!$C$10)/(0.35*SQRT(Assumptions!$C$10))))</f>
        <v>21.5551424606116</v>
      </c>
      <c r="I68" s="91" t="n">
        <f aca="false">Assumptions!$C$7*EXP(-Assumptions!$C$9*Assumptions!$C$10)*NORMSDIST(-(((LN(3100/Assumptions!$C$7)+(Assumptions!$C$9-Assumptions!$C$11+0.4^2/2)*Assumptions!$C$10)/(0.4*SQRT(Assumptions!$C$10)))-0.4*SQRT(Assumptions!$C$10)))-3100*EXP(-Assumptions!$C$11*Assumptions!$C$10)*NORMSDIST(-((LN(3100/Assumptions!$C$7)+(Assumptions!$C$9-Assumptions!$C$11+0.4^2/2)*Assumptions!$C$10)/(0.4*SQRT(Assumptions!$C$10))))</f>
        <v>34.5350056084307</v>
      </c>
      <c r="J68" s="91" t="n">
        <f aca="false">Assumptions!$C$7*EXP(-Assumptions!$C$9*Assumptions!$C$10)*NORMSDIST(-(((LN(3100/Assumptions!$C$7)+(Assumptions!$C$9-Assumptions!$C$11+0.45^2/2)*Assumptions!$C$10)/(0.45*SQRT(Assumptions!$C$10)))-0.45*SQRT(Assumptions!$C$10)))-3100*EXP(-Assumptions!$C$11*Assumptions!$C$10)*NORMSDIST(-((LN(3100/Assumptions!$C$7)+(Assumptions!$C$9-Assumptions!$C$11+0.45^2/2)*Assumptions!$C$10)/(0.45*SQRT(Assumptions!$C$10))))</f>
        <v>49.8304138526777</v>
      </c>
      <c r="K68" s="91" t="n">
        <f aca="false">Assumptions!$C$7*EXP(-Assumptions!$C$9*Assumptions!$C$10)*NORMSDIST(-(((LN(3100/Assumptions!$C$7)+(Assumptions!$C$9-Assumptions!$C$11+0.5^2/2)*Assumptions!$C$10)/(0.5*SQRT(Assumptions!$C$10)))-0.5*SQRT(Assumptions!$C$10)))-3100*EXP(-Assumptions!$C$11*Assumptions!$C$10)*NORMSDIST(-((LN(3100/Assumptions!$C$7)+(Assumptions!$C$9-Assumptions!$C$11+0.5^2/2)*Assumptions!$C$10)/(0.5*SQRT(Assumptions!$C$10))))</f>
        <v>66.9832290760758</v>
      </c>
    </row>
    <row r="69" customFormat="false" ht="15.75" hidden="false" customHeight="true" outlineLevel="0" collapsed="false">
      <c r="B69" s="88" t="n">
        <v>3150</v>
      </c>
      <c r="C69" s="89" t="n">
        <f aca="false">Assumptions!$C$7*EXP(-Assumptions!$C$9*Assumptions!$C$10)*NORMSDIST(-(((LN(3150/Assumptions!$C$7)+(Assumptions!$C$9-Assumptions!$C$11+0.1^2/2)*Assumptions!$C$10)/(0.1*SQRT(Assumptions!$C$10)))-0.1*SQRT(Assumptions!$C$10)))-3150*EXP(-Assumptions!$C$11*Assumptions!$C$10)*NORMSDIST(-((LN(3150/Assumptions!$C$7)+(Assumptions!$C$9-Assumptions!$C$11+0.1^2/2)*Assumptions!$C$10)/(0.1*SQRT(Assumptions!$C$10))))</f>
        <v>1.2825842177042E-005</v>
      </c>
      <c r="D69" s="89" t="n">
        <f aca="false">Assumptions!$C$7*EXP(-Assumptions!$C$9*Assumptions!$C$10)*NORMSDIST(-(((LN(3150/Assumptions!$C$7)+(Assumptions!$C$9-Assumptions!$C$11+0.15^2/2)*Assumptions!$C$10)/(0.15*SQRT(Assumptions!$C$10)))-0.15*SQRT(Assumptions!$C$10)))-3150*EXP(-Assumptions!$C$11*Assumptions!$C$10)*NORMSDIST(-((LN(3150/Assumptions!$C$7)+(Assumptions!$C$9-Assumptions!$C$11+0.15^2/2)*Assumptions!$C$10)/(0.15*SQRT(Assumptions!$C$10))))</f>
        <v>0.0302941984250638</v>
      </c>
      <c r="E69" s="89" t="n">
        <f aca="false">Assumptions!$C$7*EXP(-Assumptions!$C$9*Assumptions!$C$10)*NORMSDIST(-(((LN(3150/Assumptions!$C$7)+(Assumptions!$C$9-Assumptions!$C$11+0.2^2/2)*Assumptions!$C$10)/(0.2*SQRT(Assumptions!$C$10)))-0.2*SQRT(Assumptions!$C$10)))-3150*EXP(-Assumptions!$C$11*Assumptions!$C$10)*NORMSDIST(-((LN(3150/Assumptions!$C$7)+(Assumptions!$C$9-Assumptions!$C$11+0.2^2/2)*Assumptions!$C$10)/(0.2*SQRT(Assumptions!$C$10))))</f>
        <v>0.651905679293925</v>
      </c>
      <c r="F69" s="89" t="n">
        <f aca="false">Assumptions!$C$7*EXP(-Assumptions!$C$9*Assumptions!$C$10)*NORMSDIST(-(((LN(3150/Assumptions!$C$7)+(Assumptions!$C$9-Assumptions!$C$11+0.25^2/2)*Assumptions!$C$10)/(0.25*SQRT(Assumptions!$C$10)))-0.25*SQRT(Assumptions!$C$10)))-3150*EXP(-Assumptions!$C$11*Assumptions!$C$10)*NORMSDIST(-((LN(3150/Assumptions!$C$7)+(Assumptions!$C$9-Assumptions!$C$11+0.25^2/2)*Assumptions!$C$10)/(0.25*SQRT(Assumptions!$C$10))))</f>
        <v>3.28682910915146</v>
      </c>
      <c r="G69" s="89" t="n">
        <f aca="false">Assumptions!$C$7*EXP(-Assumptions!$C$9*Assumptions!$C$10)*NORMSDIST(-(((LN(3150/Assumptions!$C$7)+(Assumptions!$C$9-Assumptions!$C$11+0.3^2/2)*Assumptions!$C$10)/(0.3*SQRT(Assumptions!$C$10)))-0.3*SQRT(Assumptions!$C$10)))-3150*EXP(-Assumptions!$C$11*Assumptions!$C$10)*NORMSDIST(-((LN(3150/Assumptions!$C$7)+(Assumptions!$C$9-Assumptions!$C$11+0.3^2/2)*Assumptions!$C$10)/(0.3*SQRT(Assumptions!$C$10))))</f>
        <v>8.95661208390726</v>
      </c>
      <c r="H69" s="89" t="n">
        <f aca="false">Assumptions!$C$7*EXP(-Assumptions!$C$9*Assumptions!$C$10)*NORMSDIST(-(((LN(3150/Assumptions!$C$7)+(Assumptions!$C$9-Assumptions!$C$11+0.35^2/2)*Assumptions!$C$10)/(0.35*SQRT(Assumptions!$C$10)))-0.35*SQRT(Assumptions!$C$10)))-3150*EXP(-Assumptions!$C$11*Assumptions!$C$10)*NORMSDIST(-((LN(3150/Assumptions!$C$7)+(Assumptions!$C$9-Assumptions!$C$11+0.35^2/2)*Assumptions!$C$10)/(0.35*SQRT(Assumptions!$C$10))))</f>
        <v>17.8221477711703</v>
      </c>
      <c r="I69" s="89" t="n">
        <f aca="false">Assumptions!$C$7*EXP(-Assumptions!$C$9*Assumptions!$C$10)*NORMSDIST(-(((LN(3150/Assumptions!$C$7)+(Assumptions!$C$9-Assumptions!$C$11+0.4^2/2)*Assumptions!$C$10)/(0.4*SQRT(Assumptions!$C$10)))-0.4*SQRT(Assumptions!$C$10)))-3150*EXP(-Assumptions!$C$11*Assumptions!$C$10)*NORMSDIST(-((LN(3150/Assumptions!$C$7)+(Assumptions!$C$9-Assumptions!$C$11+0.4^2/2)*Assumptions!$C$10)/(0.4*SQRT(Assumptions!$C$10))))</f>
        <v>29.5695158170145</v>
      </c>
      <c r="J69" s="89" t="n">
        <f aca="false">Assumptions!$C$7*EXP(-Assumptions!$C$9*Assumptions!$C$10)*NORMSDIST(-(((LN(3150/Assumptions!$C$7)+(Assumptions!$C$9-Assumptions!$C$11+0.45^2/2)*Assumptions!$C$10)/(0.45*SQRT(Assumptions!$C$10)))-0.45*SQRT(Assumptions!$C$10)))-3150*EXP(-Assumptions!$C$11*Assumptions!$C$10)*NORMSDIST(-((LN(3150/Assumptions!$C$7)+(Assumptions!$C$9-Assumptions!$C$11+0.45^2/2)*Assumptions!$C$10)/(0.45*SQRT(Assumptions!$C$10))))</f>
        <v>43.7458508870099</v>
      </c>
      <c r="K69" s="89" t="n">
        <f aca="false">Assumptions!$C$7*EXP(-Assumptions!$C$9*Assumptions!$C$10)*NORMSDIST(-(((LN(3150/Assumptions!$C$7)+(Assumptions!$C$9-Assumptions!$C$11+0.5^2/2)*Assumptions!$C$10)/(0.5*SQRT(Assumptions!$C$10)))-0.5*SQRT(Assumptions!$C$10)))-3150*EXP(-Assumptions!$C$11*Assumptions!$C$10)*NORMSDIST(-((LN(3150/Assumptions!$C$7)+(Assumptions!$C$9-Assumptions!$C$11+0.5^2/2)*Assumptions!$C$10)/(0.5*SQRT(Assumptions!$C$10))))</f>
        <v>59.9118416444338</v>
      </c>
    </row>
    <row r="70" customFormat="false" ht="15.75" hidden="false" customHeight="true" outlineLevel="0" collapsed="false">
      <c r="B70" s="90" t="n">
        <v>3200</v>
      </c>
      <c r="C70" s="91" t="n">
        <f aca="false">Assumptions!$C$7*EXP(-Assumptions!$C$9*Assumptions!$C$10)*NORMSDIST(-(((LN(3200/Assumptions!$C$7)+(Assumptions!$C$9-Assumptions!$C$11+0.1^2/2)*Assumptions!$C$10)/(0.1*SQRT(Assumptions!$C$10)))-0.1*SQRT(Assumptions!$C$10)))-3200*EXP(-Assumptions!$C$11*Assumptions!$C$10)*NORMSDIST(-((LN(3200/Assumptions!$C$7)+(Assumptions!$C$9-Assumptions!$C$11+0.1^2/2)*Assumptions!$C$10)/(0.1*SQRT(Assumptions!$C$10))))</f>
        <v>2.34974360117821E-006</v>
      </c>
      <c r="D70" s="91" t="n">
        <f aca="false">Assumptions!$C$7*EXP(-Assumptions!$C$9*Assumptions!$C$10)*NORMSDIST(-(((LN(3200/Assumptions!$C$7)+(Assumptions!$C$9-Assumptions!$C$11+0.15^2/2)*Assumptions!$C$10)/(0.15*SQRT(Assumptions!$C$10)))-0.15*SQRT(Assumptions!$C$10)))-3200*EXP(-Assumptions!$C$11*Assumptions!$C$10)*NORMSDIST(-((LN(3200/Assumptions!$C$7)+(Assumptions!$C$9-Assumptions!$C$11+0.15^2/2)*Assumptions!$C$10)/(0.15*SQRT(Assumptions!$C$10))))</f>
        <v>0.0135733135020487</v>
      </c>
      <c r="E70" s="91" t="n">
        <f aca="false">Assumptions!$C$7*EXP(-Assumptions!$C$9*Assumptions!$C$10)*NORMSDIST(-(((LN(3200/Assumptions!$C$7)+(Assumptions!$C$9-Assumptions!$C$11+0.2^2/2)*Assumptions!$C$10)/(0.2*SQRT(Assumptions!$C$10)))-0.2*SQRT(Assumptions!$C$10)))-3200*EXP(-Assumptions!$C$11*Assumptions!$C$10)*NORMSDIST(-((LN(3200/Assumptions!$C$7)+(Assumptions!$C$9-Assumptions!$C$11+0.2^2/2)*Assumptions!$C$10)/(0.2*SQRT(Assumptions!$C$10))))</f>
        <v>0.401864490250363</v>
      </c>
      <c r="F70" s="91" t="n">
        <f aca="false">Assumptions!$C$7*EXP(-Assumptions!$C$9*Assumptions!$C$10)*NORMSDIST(-(((LN(3200/Assumptions!$C$7)+(Assumptions!$C$9-Assumptions!$C$11+0.25^2/2)*Assumptions!$C$10)/(0.25*SQRT(Assumptions!$C$10)))-0.25*SQRT(Assumptions!$C$10)))-3200*EXP(-Assumptions!$C$11*Assumptions!$C$10)*NORMSDIST(-((LN(3200/Assumptions!$C$7)+(Assumptions!$C$9-Assumptions!$C$11+0.25^2/2)*Assumptions!$C$10)/(0.25*SQRT(Assumptions!$C$10))))</f>
        <v>2.3582723792311</v>
      </c>
      <c r="G70" s="91" t="n">
        <f aca="false">Assumptions!$C$7*EXP(-Assumptions!$C$9*Assumptions!$C$10)*NORMSDIST(-(((LN(3200/Assumptions!$C$7)+(Assumptions!$C$9-Assumptions!$C$11+0.3^2/2)*Assumptions!$C$10)/(0.3*SQRT(Assumptions!$C$10)))-0.3*SQRT(Assumptions!$C$10)))-3200*EXP(-Assumptions!$C$11*Assumptions!$C$10)*NORMSDIST(-((LN(3200/Assumptions!$C$7)+(Assumptions!$C$9-Assumptions!$C$11+0.3^2/2)*Assumptions!$C$10)/(0.3*SQRT(Assumptions!$C$10))))</f>
        <v>6.99807852607962</v>
      </c>
      <c r="H70" s="91" t="n">
        <f aca="false">Assumptions!$C$7*EXP(-Assumptions!$C$9*Assumptions!$C$10)*NORMSDIST(-(((LN(3200/Assumptions!$C$7)+(Assumptions!$C$9-Assumptions!$C$11+0.35^2/2)*Assumptions!$C$10)/(0.35*SQRT(Assumptions!$C$10)))-0.35*SQRT(Assumptions!$C$10)))-3200*EXP(-Assumptions!$C$11*Assumptions!$C$10)*NORMSDIST(-((LN(3200/Assumptions!$C$7)+(Assumptions!$C$9-Assumptions!$C$11+0.35^2/2)*Assumptions!$C$10)/(0.35*SQRT(Assumptions!$C$10))))</f>
        <v>14.6876528141367</v>
      </c>
      <c r="I70" s="91" t="n">
        <f aca="false">Assumptions!$C$7*EXP(-Assumptions!$C$9*Assumptions!$C$10)*NORMSDIST(-(((LN(3200/Assumptions!$C$7)+(Assumptions!$C$9-Assumptions!$C$11+0.4^2/2)*Assumptions!$C$10)/(0.4*SQRT(Assumptions!$C$10)))-0.4*SQRT(Assumptions!$C$10)))-3200*EXP(-Assumptions!$C$11*Assumptions!$C$10)*NORMSDIST(-((LN(3200/Assumptions!$C$7)+(Assumptions!$C$9-Assumptions!$C$11+0.4^2/2)*Assumptions!$C$10)/(0.4*SQRT(Assumptions!$C$10))))</f>
        <v>25.2616280980313</v>
      </c>
      <c r="J70" s="91" t="n">
        <f aca="false">Assumptions!$C$7*EXP(-Assumptions!$C$9*Assumptions!$C$10)*NORMSDIST(-(((LN(3200/Assumptions!$C$7)+(Assumptions!$C$9-Assumptions!$C$11+0.45^2/2)*Assumptions!$C$10)/(0.45*SQRT(Assumptions!$C$10)))-0.45*SQRT(Assumptions!$C$10)))-3200*EXP(-Assumptions!$C$11*Assumptions!$C$10)*NORMSDIST(-((LN(3200/Assumptions!$C$7)+(Assumptions!$C$9-Assumptions!$C$11+0.45^2/2)*Assumptions!$C$10)/(0.45*SQRT(Assumptions!$C$10))))</f>
        <v>38.3442854468922</v>
      </c>
      <c r="K70" s="91" t="n">
        <f aca="false">Assumptions!$C$7*EXP(-Assumptions!$C$9*Assumptions!$C$10)*NORMSDIST(-(((LN(3200/Assumptions!$C$7)+(Assumptions!$C$9-Assumptions!$C$11+0.5^2/2)*Assumptions!$C$10)/(0.5*SQRT(Assumptions!$C$10)))-0.5*SQRT(Assumptions!$C$10)))-3200*EXP(-Assumptions!$C$11*Assumptions!$C$10)*NORMSDIST(-((LN(3200/Assumptions!$C$7)+(Assumptions!$C$9-Assumptions!$C$11+0.5^2/2)*Assumptions!$C$10)/(0.5*SQRT(Assumptions!$C$10))))</f>
        <v>53.5272188677151</v>
      </c>
    </row>
    <row r="71" customFormat="false" ht="15.75" hidden="false" customHeight="true" outlineLevel="0" collapsed="false">
      <c r="B71" s="88" t="n">
        <v>3250</v>
      </c>
      <c r="C71" s="89" t="n">
        <f aca="false">Assumptions!$C$7*EXP(-Assumptions!$C$9*Assumptions!$C$10)*NORMSDIST(-(((LN(3250/Assumptions!$C$7)+(Assumptions!$C$9-Assumptions!$C$11+0.1^2/2)*Assumptions!$C$10)/(0.1*SQRT(Assumptions!$C$10)))-0.1*SQRT(Assumptions!$C$10)))-3250*EXP(-Assumptions!$C$11*Assumptions!$C$10)*NORMSDIST(-((LN(3250/Assumptions!$C$7)+(Assumptions!$C$9-Assumptions!$C$11+0.1^2/2)*Assumptions!$C$10)/(0.1*SQRT(Assumptions!$C$10))))</f>
        <v>4.03337135295812E-007</v>
      </c>
      <c r="D71" s="89" t="n">
        <f aca="false">Assumptions!$C$7*EXP(-Assumptions!$C$9*Assumptions!$C$10)*NORMSDIST(-(((LN(3250/Assumptions!$C$7)+(Assumptions!$C$9-Assumptions!$C$11+0.15^2/2)*Assumptions!$C$10)/(0.15*SQRT(Assumptions!$C$10)))-0.15*SQRT(Assumptions!$C$10)))-3250*EXP(-Assumptions!$C$11*Assumptions!$C$10)*NORMSDIST(-((LN(3250/Assumptions!$C$7)+(Assumptions!$C$9-Assumptions!$C$11+0.15^2/2)*Assumptions!$C$10)/(0.15*SQRT(Assumptions!$C$10))))</f>
        <v>0.00592361136682484</v>
      </c>
      <c r="E71" s="89" t="n">
        <f aca="false">Assumptions!$C$7*EXP(-Assumptions!$C$9*Assumptions!$C$10)*NORMSDIST(-(((LN(3250/Assumptions!$C$7)+(Assumptions!$C$9-Assumptions!$C$11+0.2^2/2)*Assumptions!$C$10)/(0.2*SQRT(Assumptions!$C$10)))-0.2*SQRT(Assumptions!$C$10)))-3250*EXP(-Assumptions!$C$11*Assumptions!$C$10)*NORMSDIST(-((LN(3250/Assumptions!$C$7)+(Assumptions!$C$9-Assumptions!$C$11+0.2^2/2)*Assumptions!$C$10)/(0.2*SQRT(Assumptions!$C$10))))</f>
        <v>0.244445423932881</v>
      </c>
      <c r="F71" s="89" t="n">
        <f aca="false">Assumptions!$C$7*EXP(-Assumptions!$C$9*Assumptions!$C$10)*NORMSDIST(-(((LN(3250/Assumptions!$C$7)+(Assumptions!$C$9-Assumptions!$C$11+0.25^2/2)*Assumptions!$C$10)/(0.25*SQRT(Assumptions!$C$10)))-0.25*SQRT(Assumptions!$C$10)))-3250*EXP(-Assumptions!$C$11*Assumptions!$C$10)*NORMSDIST(-((LN(3250/Assumptions!$C$7)+(Assumptions!$C$9-Assumptions!$C$11+0.25^2/2)*Assumptions!$C$10)/(0.25*SQRT(Assumptions!$C$10))))</f>
        <v>1.67911443657006</v>
      </c>
      <c r="G71" s="89" t="n">
        <f aca="false">Assumptions!$C$7*EXP(-Assumptions!$C$9*Assumptions!$C$10)*NORMSDIST(-(((LN(3250/Assumptions!$C$7)+(Assumptions!$C$9-Assumptions!$C$11+0.3^2/2)*Assumptions!$C$10)/(0.3*SQRT(Assumptions!$C$10)))-0.3*SQRT(Assumptions!$C$10)))-3250*EXP(-Assumptions!$C$11*Assumptions!$C$10)*NORMSDIST(-((LN(3250/Assumptions!$C$7)+(Assumptions!$C$9-Assumptions!$C$11+0.3^2/2)*Assumptions!$C$10)/(0.3*SQRT(Assumptions!$C$10))))</f>
        <v>5.44177250069204</v>
      </c>
      <c r="H71" s="89" t="n">
        <f aca="false">Assumptions!$C$7*EXP(-Assumptions!$C$9*Assumptions!$C$10)*NORMSDIST(-(((LN(3250/Assumptions!$C$7)+(Assumptions!$C$9-Assumptions!$C$11+0.35^2/2)*Assumptions!$C$10)/(0.35*SQRT(Assumptions!$C$10)))-0.35*SQRT(Assumptions!$C$10)))-3250*EXP(-Assumptions!$C$11*Assumptions!$C$10)*NORMSDIST(-((LN(3250/Assumptions!$C$7)+(Assumptions!$C$9-Assumptions!$C$11+0.35^2/2)*Assumptions!$C$10)/(0.35*SQRT(Assumptions!$C$10))))</f>
        <v>12.0665343399384</v>
      </c>
      <c r="I71" s="89" t="n">
        <f aca="false">Assumptions!$C$7*EXP(-Assumptions!$C$9*Assumptions!$C$10)*NORMSDIST(-(((LN(3250/Assumptions!$C$7)+(Assumptions!$C$9-Assumptions!$C$11+0.4^2/2)*Assumptions!$C$10)/(0.4*SQRT(Assumptions!$C$10)))-0.4*SQRT(Assumptions!$C$10)))-3250*EXP(-Assumptions!$C$11*Assumptions!$C$10)*NORMSDIST(-((LN(3250/Assumptions!$C$7)+(Assumptions!$C$9-Assumptions!$C$11+0.4^2/2)*Assumptions!$C$10)/(0.4*SQRT(Assumptions!$C$10))))</f>
        <v>21.5352222587079</v>
      </c>
      <c r="J71" s="89" t="n">
        <f aca="false">Assumptions!$C$7*EXP(-Assumptions!$C$9*Assumptions!$C$10)*NORMSDIST(-(((LN(3250/Assumptions!$C$7)+(Assumptions!$C$9-Assumptions!$C$11+0.45^2/2)*Assumptions!$C$10)/(0.45*SQRT(Assumptions!$C$10)))-0.45*SQRT(Assumptions!$C$10)))-3250*EXP(-Assumptions!$C$11*Assumptions!$C$10)*NORMSDIST(-((LN(3250/Assumptions!$C$7)+(Assumptions!$C$9-Assumptions!$C$11+0.45^2/2)*Assumptions!$C$10)/(0.45*SQRT(Assumptions!$C$10))))</f>
        <v>33.559380764564</v>
      </c>
      <c r="K71" s="89" t="n">
        <f aca="false">Assumptions!$C$7*EXP(-Assumptions!$C$9*Assumptions!$C$10)*NORMSDIST(-(((LN(3250/Assumptions!$C$7)+(Assumptions!$C$9-Assumptions!$C$11+0.5^2/2)*Assumptions!$C$10)/(0.5*SQRT(Assumptions!$C$10)))-0.5*SQRT(Assumptions!$C$10)))-3250*EXP(-Assumptions!$C$11*Assumptions!$C$10)*NORMSDIST(-((LN(3250/Assumptions!$C$7)+(Assumptions!$C$9-Assumptions!$C$11+0.5^2/2)*Assumptions!$C$10)/(0.5*SQRT(Assumptions!$C$10))))</f>
        <v>47.7719766333871</v>
      </c>
    </row>
  </sheetData>
  <mergeCells count="4">
    <mergeCell ref="B2:U2"/>
    <mergeCell ref="B3:U3"/>
    <mergeCell ref="B5:M5"/>
    <mergeCell ref="B39:M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6" min="2" style="1" width="12"/>
    <col collapsed="false" customWidth="true" hidden="false" outlineLevel="0" max="8" min="7" style="1" width="14"/>
    <col collapsed="false" customWidth="true" hidden="false" outlineLevel="0" max="10" min="9" style="1" width="1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8" t="s">
        <v>162</v>
      </c>
      <c r="C2" s="18"/>
      <c r="D2" s="18"/>
      <c r="E2" s="18"/>
      <c r="F2" s="18"/>
      <c r="G2" s="18"/>
      <c r="H2" s="18"/>
      <c r="I2" s="18"/>
      <c r="J2" s="18"/>
    </row>
    <row r="3" customFormat="false" ht="18" hidden="false" customHeight="true" outlineLevel="0" collapsed="false">
      <c r="B3" s="19" t="s">
        <v>163</v>
      </c>
      <c r="C3" s="19"/>
      <c r="D3" s="19"/>
      <c r="E3" s="19"/>
      <c r="F3" s="19"/>
      <c r="G3" s="19"/>
      <c r="H3" s="19"/>
      <c r="I3" s="19"/>
      <c r="J3" s="19"/>
    </row>
    <row r="4" customFormat="false" ht="9.75" hidden="false" customHeight="true" outlineLevel="0" collapsed="false"/>
    <row r="5" customFormat="false" ht="36" hidden="false" customHeight="true" outlineLevel="0" collapsed="false">
      <c r="B5" s="31" t="s">
        <v>164</v>
      </c>
      <c r="C5" s="31" t="s">
        <v>165</v>
      </c>
      <c r="D5" s="31" t="s">
        <v>166</v>
      </c>
      <c r="E5" s="31" t="s">
        <v>167</v>
      </c>
      <c r="F5" s="31" t="s">
        <v>168</v>
      </c>
      <c r="G5" s="31" t="s">
        <v>169</v>
      </c>
      <c r="H5" s="31" t="s">
        <v>170</v>
      </c>
      <c r="I5" s="31" t="s">
        <v>171</v>
      </c>
      <c r="J5" s="31" t="s">
        <v>172</v>
      </c>
    </row>
    <row r="6" customFormat="false" ht="15.75" hidden="false" customHeight="true" outlineLevel="0" collapsed="false">
      <c r="B6" s="93" t="n">
        <v>1500</v>
      </c>
      <c r="C6" s="81" t="n">
        <f aca="false">MAX(1500-Assumptions!$C$7,0)-('Option Pricer'!C7)</f>
        <v>-138.005860205859</v>
      </c>
      <c r="D6" s="94" t="n">
        <f aca="false">('Option Pricer'!C7)-MAX(1500-Assumptions!$C$7,0)</f>
        <v>138.005860205859</v>
      </c>
      <c r="E6" s="94" t="n">
        <f aca="false">MAX(Assumptions!$C$7-1500,0)-('Option Pricer'!E7)</f>
        <v>889.891697120181</v>
      </c>
      <c r="F6" s="81" t="n">
        <f aca="false">('Option Pricer'!E7)-MAX(Assumptions!$C$7-1500,0)</f>
        <v>-889.891697120181</v>
      </c>
      <c r="G6" s="95" t="n">
        <f aca="false">C6+E6</f>
        <v>751.885836914323</v>
      </c>
      <c r="H6" s="95" t="n">
        <f aca="false">D6+F6</f>
        <v>-751.885836914323</v>
      </c>
      <c r="I6" s="95" t="n">
        <f aca="false">MAX(1500-Assumptions!$C$7,0)-MAX(1500-(Assumptions!$C$7+200),0)-('Option Pricer'!C7-MAX('Option Pricer'!C7*0.4,0))</f>
        <v>-82.8035161235153</v>
      </c>
      <c r="J6" s="95" t="n">
        <f aca="false">MAX(Assumptions!$C$7-1500,0)-MAX((Assumptions!$C$7-200)-1500,0)-('Option Pricer'!E7-MAX('Option Pricer'!E7*0.4,0))</f>
        <v>133.935018272109</v>
      </c>
    </row>
    <row r="7" customFormat="false" ht="15.75" hidden="false" customHeight="true" outlineLevel="0" collapsed="false">
      <c r="B7" s="96" t="n">
        <v>1600</v>
      </c>
      <c r="C7" s="83" t="n">
        <f aca="false">MAX(1600-Assumptions!$C$7,0)-('Option Pricer'!C7)</f>
        <v>-138.005860205859</v>
      </c>
      <c r="D7" s="91" t="n">
        <f aca="false">('Option Pricer'!C7)-MAX(1600-Assumptions!$C$7,0)</f>
        <v>138.005860205859</v>
      </c>
      <c r="E7" s="91" t="n">
        <f aca="false">MAX(Assumptions!$C$7-1600,0)-('Option Pricer'!E7)</f>
        <v>789.891697120181</v>
      </c>
      <c r="F7" s="83" t="n">
        <f aca="false">('Option Pricer'!E7)-MAX(Assumptions!$C$7-1600,0)</f>
        <v>-789.891697120181</v>
      </c>
      <c r="G7" s="97" t="n">
        <f aca="false">C7+E7</f>
        <v>651.885836914323</v>
      </c>
      <c r="H7" s="97" t="n">
        <f aca="false">D7+F7</f>
        <v>-651.885836914323</v>
      </c>
      <c r="I7" s="97" t="n">
        <f aca="false">MAX(1600-Assumptions!$C$7,0)-MAX(1600-(Assumptions!$C$7+200),0)-('Option Pricer'!C7-MAX('Option Pricer'!C7*0.4,0))</f>
        <v>-82.8035161235153</v>
      </c>
      <c r="J7" s="97" t="n">
        <f aca="false">MAX(Assumptions!$C$7-1600,0)-MAX((Assumptions!$C$7-200)-1600,0)-('Option Pricer'!E7-MAX('Option Pricer'!E7*0.4,0))</f>
        <v>133.935018272109</v>
      </c>
    </row>
    <row r="8" customFormat="false" ht="15.75" hidden="false" customHeight="true" outlineLevel="0" collapsed="false">
      <c r="B8" s="93" t="n">
        <v>1700</v>
      </c>
      <c r="C8" s="81" t="n">
        <f aca="false">MAX(1700-Assumptions!$C$7,0)-('Option Pricer'!C7)</f>
        <v>-138.005860205859</v>
      </c>
      <c r="D8" s="94" t="n">
        <f aca="false">('Option Pricer'!C7)-MAX(1700-Assumptions!$C$7,0)</f>
        <v>138.005860205859</v>
      </c>
      <c r="E8" s="94" t="n">
        <f aca="false">MAX(Assumptions!$C$7-1700,0)-('Option Pricer'!E7)</f>
        <v>689.891697120181</v>
      </c>
      <c r="F8" s="81" t="n">
        <f aca="false">('Option Pricer'!E7)-MAX(Assumptions!$C$7-1700,0)</f>
        <v>-689.891697120181</v>
      </c>
      <c r="G8" s="95" t="n">
        <f aca="false">C8+E8</f>
        <v>551.885836914323</v>
      </c>
      <c r="H8" s="95" t="n">
        <f aca="false">D8+F8</f>
        <v>-551.885836914323</v>
      </c>
      <c r="I8" s="95" t="n">
        <f aca="false">MAX(1700-Assumptions!$C$7,0)-MAX(1700-(Assumptions!$C$7+200),0)-('Option Pricer'!C7-MAX('Option Pricer'!C7*0.4,0))</f>
        <v>-82.8035161235153</v>
      </c>
      <c r="J8" s="95" t="n">
        <f aca="false">MAX(Assumptions!$C$7-1700,0)-MAX((Assumptions!$C$7-200)-1700,0)-('Option Pricer'!E7-MAX('Option Pricer'!E7*0.4,0))</f>
        <v>133.935018272109</v>
      </c>
    </row>
    <row r="9" customFormat="false" ht="15.75" hidden="false" customHeight="true" outlineLevel="0" collapsed="false">
      <c r="B9" s="96" t="n">
        <v>1800</v>
      </c>
      <c r="C9" s="83" t="n">
        <f aca="false">MAX(1800-Assumptions!$C$7,0)-('Option Pricer'!C7)</f>
        <v>-138.005860205859</v>
      </c>
      <c r="D9" s="91" t="n">
        <f aca="false">('Option Pricer'!C7)-MAX(1800-Assumptions!$C$7,0)</f>
        <v>138.005860205859</v>
      </c>
      <c r="E9" s="91" t="n">
        <f aca="false">MAX(Assumptions!$C$7-1800,0)-('Option Pricer'!E7)</f>
        <v>589.891697120181</v>
      </c>
      <c r="F9" s="83" t="n">
        <f aca="false">('Option Pricer'!E7)-MAX(Assumptions!$C$7-1800,0)</f>
        <v>-589.891697120181</v>
      </c>
      <c r="G9" s="97" t="n">
        <f aca="false">C9+E9</f>
        <v>451.885836914322</v>
      </c>
      <c r="H9" s="97" t="n">
        <f aca="false">D9+F9</f>
        <v>-451.885836914322</v>
      </c>
      <c r="I9" s="97" t="n">
        <f aca="false">MAX(1800-Assumptions!$C$7,0)-MAX(1800-(Assumptions!$C$7+200),0)-('Option Pricer'!C7-MAX('Option Pricer'!C7*0.4,0))</f>
        <v>-82.8035161235153</v>
      </c>
      <c r="J9" s="97" t="n">
        <f aca="false">MAX(Assumptions!$C$7-1800,0)-MAX((Assumptions!$C$7-200)-1800,0)-('Option Pricer'!E7-MAX('Option Pricer'!E7*0.4,0))</f>
        <v>133.935018272109</v>
      </c>
    </row>
    <row r="10" customFormat="false" ht="15.75" hidden="false" customHeight="true" outlineLevel="0" collapsed="false">
      <c r="B10" s="93" t="n">
        <v>1900</v>
      </c>
      <c r="C10" s="81" t="n">
        <f aca="false">MAX(1900-Assumptions!$C$7,0)-('Option Pricer'!C7)</f>
        <v>-138.005860205859</v>
      </c>
      <c r="D10" s="94" t="n">
        <f aca="false">('Option Pricer'!C7)-MAX(1900-Assumptions!$C$7,0)</f>
        <v>138.005860205859</v>
      </c>
      <c r="E10" s="94" t="n">
        <f aca="false">MAX(Assumptions!$C$7-1900,0)-('Option Pricer'!E7)</f>
        <v>489.891697120181</v>
      </c>
      <c r="F10" s="81" t="n">
        <f aca="false">('Option Pricer'!E7)-MAX(Assumptions!$C$7-1900,0)</f>
        <v>-489.891697120181</v>
      </c>
      <c r="G10" s="95" t="n">
        <f aca="false">C10+E10</f>
        <v>351.885836914322</v>
      </c>
      <c r="H10" s="95" t="n">
        <f aca="false">D10+F10</f>
        <v>-351.885836914322</v>
      </c>
      <c r="I10" s="95" t="n">
        <f aca="false">MAX(1900-Assumptions!$C$7,0)-MAX(1900-(Assumptions!$C$7+200),0)-('Option Pricer'!C7-MAX('Option Pricer'!C7*0.4,0))</f>
        <v>-82.8035161235153</v>
      </c>
      <c r="J10" s="95" t="n">
        <f aca="false">MAX(Assumptions!$C$7-1900,0)-MAX((Assumptions!$C$7-200)-1900,0)-('Option Pricer'!E7-MAX('Option Pricer'!E7*0.4,0))</f>
        <v>133.935018272109</v>
      </c>
    </row>
    <row r="11" customFormat="false" ht="15.75" hidden="false" customHeight="true" outlineLevel="0" collapsed="false">
      <c r="B11" s="96" t="n">
        <v>2000</v>
      </c>
      <c r="C11" s="83" t="n">
        <f aca="false">MAX(2000-Assumptions!$C$7,0)-('Option Pricer'!C7)</f>
        <v>-138.005860205859</v>
      </c>
      <c r="D11" s="91" t="n">
        <f aca="false">('Option Pricer'!C7)-MAX(2000-Assumptions!$C$7,0)</f>
        <v>138.005860205859</v>
      </c>
      <c r="E11" s="91" t="n">
        <f aca="false">MAX(Assumptions!$C$7-2000,0)-('Option Pricer'!E7)</f>
        <v>389.891697120181</v>
      </c>
      <c r="F11" s="83" t="n">
        <f aca="false">('Option Pricer'!E7)-MAX(Assumptions!$C$7-2000,0)</f>
        <v>-389.891697120181</v>
      </c>
      <c r="G11" s="97" t="n">
        <f aca="false">C11+E11</f>
        <v>251.885836914322</v>
      </c>
      <c r="H11" s="97" t="n">
        <f aca="false">D11+F11</f>
        <v>-251.885836914322</v>
      </c>
      <c r="I11" s="97" t="n">
        <f aca="false">MAX(2000-Assumptions!$C$7,0)-MAX(2000-(Assumptions!$C$7+200),0)-('Option Pricer'!C7-MAX('Option Pricer'!C7*0.4,0))</f>
        <v>-82.8035161235153</v>
      </c>
      <c r="J11" s="97" t="n">
        <f aca="false">MAX(Assumptions!$C$7-2000,0)-MAX((Assumptions!$C$7-200)-2000,0)-('Option Pricer'!E7-MAX('Option Pricer'!E7*0.4,0))</f>
        <v>133.935018272109</v>
      </c>
    </row>
    <row r="12" customFormat="false" ht="15.75" hidden="false" customHeight="true" outlineLevel="0" collapsed="false">
      <c r="B12" s="93" t="n">
        <v>2100</v>
      </c>
      <c r="C12" s="81" t="n">
        <f aca="false">MAX(2100-Assumptions!$C$7,0)-('Option Pricer'!C7)</f>
        <v>-138.005860205859</v>
      </c>
      <c r="D12" s="94" t="n">
        <f aca="false">('Option Pricer'!C7)-MAX(2100-Assumptions!$C$7,0)</f>
        <v>138.005860205859</v>
      </c>
      <c r="E12" s="94" t="n">
        <f aca="false">MAX(Assumptions!$C$7-2100,0)-('Option Pricer'!E7)</f>
        <v>289.891697120181</v>
      </c>
      <c r="F12" s="81" t="n">
        <f aca="false">('Option Pricer'!E7)-MAX(Assumptions!$C$7-2100,0)</f>
        <v>-289.891697120181</v>
      </c>
      <c r="G12" s="95" t="n">
        <f aca="false">C12+E12</f>
        <v>151.885836914322</v>
      </c>
      <c r="H12" s="95" t="n">
        <f aca="false">D12+F12</f>
        <v>-151.885836914322</v>
      </c>
      <c r="I12" s="95" t="n">
        <f aca="false">MAX(2100-Assumptions!$C$7,0)-MAX(2100-(Assumptions!$C$7+200),0)-('Option Pricer'!C7-MAX('Option Pricer'!C7*0.4,0))</f>
        <v>-82.8035161235153</v>
      </c>
      <c r="J12" s="95" t="n">
        <f aca="false">MAX(Assumptions!$C$7-2100,0)-MAX((Assumptions!$C$7-200)-2100,0)-('Option Pricer'!E7-MAX('Option Pricer'!E7*0.4,0))</f>
        <v>133.935018272109</v>
      </c>
    </row>
    <row r="13" customFormat="false" ht="15.75" hidden="false" customHeight="true" outlineLevel="0" collapsed="false">
      <c r="B13" s="96" t="n">
        <v>2200</v>
      </c>
      <c r="C13" s="83" t="n">
        <f aca="false">MAX(2200-Assumptions!$C$7,0)-('Option Pricer'!C7)</f>
        <v>-138.005860205859</v>
      </c>
      <c r="D13" s="91" t="n">
        <f aca="false">('Option Pricer'!C7)-MAX(2200-Assumptions!$C$7,0)</f>
        <v>138.005860205859</v>
      </c>
      <c r="E13" s="91" t="n">
        <f aca="false">MAX(Assumptions!$C$7-2200,0)-('Option Pricer'!E7)</f>
        <v>189.891697120181</v>
      </c>
      <c r="F13" s="83" t="n">
        <f aca="false">('Option Pricer'!E7)-MAX(Assumptions!$C$7-2200,0)</f>
        <v>-189.891697120181</v>
      </c>
      <c r="G13" s="97" t="n">
        <f aca="false">C13+E13</f>
        <v>51.8858369143225</v>
      </c>
      <c r="H13" s="97" t="n">
        <f aca="false">D13+F13</f>
        <v>-51.8858369143225</v>
      </c>
      <c r="I13" s="97" t="n">
        <f aca="false">MAX(2200-Assumptions!$C$7,0)-MAX(2200-(Assumptions!$C$7+200),0)-('Option Pricer'!C7-MAX('Option Pricer'!C7*0.4,0))</f>
        <v>-82.8035161235153</v>
      </c>
      <c r="J13" s="97" t="n">
        <f aca="false">MAX(Assumptions!$C$7-2200,0)-MAX((Assumptions!$C$7-200)-2200,0)-('Option Pricer'!E7-MAX('Option Pricer'!E7*0.4,0))</f>
        <v>133.935018272109</v>
      </c>
    </row>
    <row r="14" customFormat="false" ht="15.75" hidden="false" customHeight="true" outlineLevel="0" collapsed="false">
      <c r="B14" s="93" t="n">
        <v>2300</v>
      </c>
      <c r="C14" s="81" t="n">
        <f aca="false">MAX(2300-Assumptions!$C$7,0)-('Option Pricer'!C7)</f>
        <v>-138.005860205859</v>
      </c>
      <c r="D14" s="94" t="n">
        <f aca="false">('Option Pricer'!C7)-MAX(2300-Assumptions!$C$7,0)</f>
        <v>138.005860205859</v>
      </c>
      <c r="E14" s="94" t="n">
        <f aca="false">MAX(Assumptions!$C$7-2300,0)-('Option Pricer'!E7)</f>
        <v>89.8916971201813</v>
      </c>
      <c r="F14" s="81" t="n">
        <f aca="false">('Option Pricer'!E7)-MAX(Assumptions!$C$7-2300,0)</f>
        <v>-89.8916971201813</v>
      </c>
      <c r="G14" s="95" t="n">
        <f aca="false">C14+E14</f>
        <v>-48.1141630856775</v>
      </c>
      <c r="H14" s="95" t="n">
        <f aca="false">D14+F14</f>
        <v>48.1141630856775</v>
      </c>
      <c r="I14" s="95" t="n">
        <f aca="false">MAX(2300-Assumptions!$C$7,0)-MAX(2300-(Assumptions!$C$7+200),0)-('Option Pricer'!C7-MAX('Option Pricer'!C7*0.4,0))</f>
        <v>-82.8035161235153</v>
      </c>
      <c r="J14" s="95" t="n">
        <f aca="false">MAX(Assumptions!$C$7-2300,0)-MAX((Assumptions!$C$7-200)-2300,0)-('Option Pricer'!E7-MAX('Option Pricer'!E7*0.4,0))</f>
        <v>133.935018272109</v>
      </c>
    </row>
    <row r="15" customFormat="false" ht="15.75" hidden="false" customHeight="true" outlineLevel="0" collapsed="false">
      <c r="B15" s="96" t="n">
        <v>2400</v>
      </c>
      <c r="C15" s="83" t="n">
        <f aca="false">MAX(2400-Assumptions!$C$7,0)-('Option Pricer'!C7)</f>
        <v>-138.005860205859</v>
      </c>
      <c r="D15" s="91" t="n">
        <f aca="false">('Option Pricer'!C7)-MAX(2400-Assumptions!$C$7,0)</f>
        <v>138.005860205859</v>
      </c>
      <c r="E15" s="91" t="n">
        <f aca="false">MAX(Assumptions!$C$7-2400,0)-('Option Pricer'!E7)</f>
        <v>-10.1083028798187</v>
      </c>
      <c r="F15" s="83" t="n">
        <f aca="false">('Option Pricer'!E7)-MAX(Assumptions!$C$7-2400,0)</f>
        <v>10.1083028798187</v>
      </c>
      <c r="G15" s="97" t="n">
        <f aca="false">C15+E15</f>
        <v>-148.114163085678</v>
      </c>
      <c r="H15" s="97" t="n">
        <f aca="false">D15+F15</f>
        <v>148.114163085678</v>
      </c>
      <c r="I15" s="97" t="n">
        <f aca="false">MAX(2400-Assumptions!$C$7,0)-MAX(2400-(Assumptions!$C$7+200),0)-('Option Pricer'!C7-MAX('Option Pricer'!C7*0.4,0))</f>
        <v>-82.8035161235153</v>
      </c>
      <c r="J15" s="97" t="n">
        <f aca="false">MAX(Assumptions!$C$7-2400,0)-MAX((Assumptions!$C$7-200)-2400,0)-('Option Pricer'!E7-MAX('Option Pricer'!E7*0.4,0))</f>
        <v>33.9350182721088</v>
      </c>
    </row>
    <row r="16" customFormat="false" ht="15.75" hidden="false" customHeight="true" outlineLevel="0" collapsed="false">
      <c r="B16" s="98" t="n">
        <v>2500</v>
      </c>
      <c r="C16" s="99" t="n">
        <f aca="false">MAX(2500-Assumptions!$C$7,0)-('Option Pricer'!C7)</f>
        <v>-138.005860205859</v>
      </c>
      <c r="D16" s="100" t="n">
        <f aca="false">('Option Pricer'!C7)-MAX(2500-Assumptions!$C$7,0)</f>
        <v>138.005860205859</v>
      </c>
      <c r="E16" s="100" t="n">
        <f aca="false">MAX(Assumptions!$C$7-2500,0)-('Option Pricer'!E7)</f>
        <v>-110.108302879819</v>
      </c>
      <c r="F16" s="99" t="n">
        <f aca="false">('Option Pricer'!E7)-MAX(Assumptions!$C$7-2500,0)</f>
        <v>110.108302879819</v>
      </c>
      <c r="G16" s="101" t="n">
        <f aca="false">C16+E16</f>
        <v>-248.114163085678</v>
      </c>
      <c r="H16" s="101" t="n">
        <f aca="false">D16+F16</f>
        <v>248.114163085678</v>
      </c>
      <c r="I16" s="101" t="n">
        <f aca="false">MAX(2500-Assumptions!$C$7,0)-MAX(2500-(Assumptions!$C$7+200),0)-('Option Pricer'!C7-MAX('Option Pricer'!C7*0.4,0))</f>
        <v>-82.8035161235153</v>
      </c>
      <c r="J16" s="101" t="n">
        <f aca="false">MAX(Assumptions!$C$7-2500,0)-MAX((Assumptions!$C$7-200)-2500,0)-('Option Pricer'!E7-MAX('Option Pricer'!E7*0.4,0))</f>
        <v>-66.0649817278912</v>
      </c>
    </row>
    <row r="17" customFormat="false" ht="15.75" hidden="false" customHeight="true" outlineLevel="0" collapsed="false">
      <c r="B17" s="96" t="n">
        <v>2600</v>
      </c>
      <c r="C17" s="83" t="n">
        <f aca="false">MAX(2600-Assumptions!$C$7,0)-('Option Pricer'!C7)</f>
        <v>-38.0058602058589</v>
      </c>
      <c r="D17" s="91" t="n">
        <f aca="false">('Option Pricer'!C7)-MAX(2600-Assumptions!$C$7,0)</f>
        <v>38.0058602058589</v>
      </c>
      <c r="E17" s="91" t="n">
        <f aca="false">MAX(Assumptions!$C$7-2600,0)-('Option Pricer'!E7)</f>
        <v>-110.108302879819</v>
      </c>
      <c r="F17" s="83" t="n">
        <f aca="false">('Option Pricer'!E7)-MAX(Assumptions!$C$7-2600,0)</f>
        <v>110.108302879819</v>
      </c>
      <c r="G17" s="97" t="n">
        <f aca="false">C17+E17</f>
        <v>-148.114163085678</v>
      </c>
      <c r="H17" s="97" t="n">
        <f aca="false">D17+F17</f>
        <v>148.114163085678</v>
      </c>
      <c r="I17" s="97" t="n">
        <f aca="false">MAX(2600-Assumptions!$C$7,0)-MAX(2600-(Assumptions!$C$7+200),0)-('Option Pricer'!C7-MAX('Option Pricer'!C7*0.4,0))</f>
        <v>17.1964838764847</v>
      </c>
      <c r="J17" s="97" t="n">
        <f aca="false">MAX(Assumptions!$C$7-2600,0)-MAX((Assumptions!$C$7-200)-2600,0)-('Option Pricer'!E7-MAX('Option Pricer'!E7*0.4,0))</f>
        <v>-66.0649817278912</v>
      </c>
    </row>
    <row r="18" customFormat="false" ht="15.75" hidden="false" customHeight="true" outlineLevel="0" collapsed="false">
      <c r="B18" s="93" t="n">
        <v>2700</v>
      </c>
      <c r="C18" s="81" t="n">
        <f aca="false">MAX(2700-Assumptions!$C$7,0)-('Option Pricer'!C7)</f>
        <v>61.9941397941411</v>
      </c>
      <c r="D18" s="94" t="n">
        <f aca="false">('Option Pricer'!C7)-MAX(2700-Assumptions!$C$7,0)</f>
        <v>-61.9941397941411</v>
      </c>
      <c r="E18" s="94" t="n">
        <f aca="false">MAX(Assumptions!$C$7-2700,0)-('Option Pricer'!E7)</f>
        <v>-110.108302879819</v>
      </c>
      <c r="F18" s="81" t="n">
        <f aca="false">('Option Pricer'!E7)-MAX(Assumptions!$C$7-2700,0)</f>
        <v>110.108302879819</v>
      </c>
      <c r="G18" s="95" t="n">
        <f aca="false">C18+E18</f>
        <v>-48.1141630856775</v>
      </c>
      <c r="H18" s="95" t="n">
        <f aca="false">D18+F18</f>
        <v>48.1141630856775</v>
      </c>
      <c r="I18" s="95" t="n">
        <f aca="false">MAX(2700-Assumptions!$C$7,0)-MAX(2700-(Assumptions!$C$7+200),0)-('Option Pricer'!C7-MAX('Option Pricer'!C7*0.4,0))</f>
        <v>117.196483876485</v>
      </c>
      <c r="J18" s="95" t="n">
        <f aca="false">MAX(Assumptions!$C$7-2700,0)-MAX((Assumptions!$C$7-200)-2700,0)-('Option Pricer'!E7-MAX('Option Pricer'!E7*0.4,0))</f>
        <v>-66.0649817278912</v>
      </c>
    </row>
    <row r="19" customFormat="false" ht="15.75" hidden="false" customHeight="true" outlineLevel="0" collapsed="false">
      <c r="B19" s="96" t="n">
        <v>2800</v>
      </c>
      <c r="C19" s="83" t="n">
        <f aca="false">MAX(2800-Assumptions!$C$7,0)-('Option Pricer'!C7)</f>
        <v>161.994139794141</v>
      </c>
      <c r="D19" s="91" t="n">
        <f aca="false">('Option Pricer'!C7)-MAX(2800-Assumptions!$C$7,0)</f>
        <v>-161.994139794141</v>
      </c>
      <c r="E19" s="91" t="n">
        <f aca="false">MAX(Assumptions!$C$7-2800,0)-('Option Pricer'!E7)</f>
        <v>-110.108302879819</v>
      </c>
      <c r="F19" s="83" t="n">
        <f aca="false">('Option Pricer'!E7)-MAX(Assumptions!$C$7-2800,0)</f>
        <v>110.108302879819</v>
      </c>
      <c r="G19" s="97" t="n">
        <f aca="false">C19+E19</f>
        <v>51.8858369143225</v>
      </c>
      <c r="H19" s="97" t="n">
        <f aca="false">D19+F19</f>
        <v>-51.8858369143225</v>
      </c>
      <c r="I19" s="97" t="n">
        <f aca="false">MAX(2800-Assumptions!$C$7,0)-MAX(2800-(Assumptions!$C$7+200),0)-('Option Pricer'!C7-MAX('Option Pricer'!C7*0.4,0))</f>
        <v>117.196483876485</v>
      </c>
      <c r="J19" s="97" t="n">
        <f aca="false">MAX(Assumptions!$C$7-2800,0)-MAX((Assumptions!$C$7-200)-2800,0)-('Option Pricer'!E7-MAX('Option Pricer'!E7*0.4,0))</f>
        <v>-66.0649817278912</v>
      </c>
    </row>
    <row r="20" customFormat="false" ht="15.75" hidden="false" customHeight="true" outlineLevel="0" collapsed="false">
      <c r="B20" s="93" t="n">
        <v>2900</v>
      </c>
      <c r="C20" s="81" t="n">
        <f aca="false">MAX(2900-Assumptions!$C$7,0)-('Option Pricer'!C7)</f>
        <v>261.994139794141</v>
      </c>
      <c r="D20" s="94" t="n">
        <f aca="false">('Option Pricer'!C7)-MAX(2900-Assumptions!$C$7,0)</f>
        <v>-261.994139794141</v>
      </c>
      <c r="E20" s="94" t="n">
        <f aca="false">MAX(Assumptions!$C$7-2900,0)-('Option Pricer'!E7)</f>
        <v>-110.108302879819</v>
      </c>
      <c r="F20" s="81" t="n">
        <f aca="false">('Option Pricer'!E7)-MAX(Assumptions!$C$7-2900,0)</f>
        <v>110.108302879819</v>
      </c>
      <c r="G20" s="95" t="n">
        <f aca="false">C20+E20</f>
        <v>151.885836914322</v>
      </c>
      <c r="H20" s="95" t="n">
        <f aca="false">D20+F20</f>
        <v>-151.885836914322</v>
      </c>
      <c r="I20" s="95" t="n">
        <f aca="false">MAX(2900-Assumptions!$C$7,0)-MAX(2900-(Assumptions!$C$7+200),0)-('Option Pricer'!C7-MAX('Option Pricer'!C7*0.4,0))</f>
        <v>117.196483876485</v>
      </c>
      <c r="J20" s="95" t="n">
        <f aca="false">MAX(Assumptions!$C$7-2900,0)-MAX((Assumptions!$C$7-200)-2900,0)-('Option Pricer'!E7-MAX('Option Pricer'!E7*0.4,0))</f>
        <v>-66.0649817278912</v>
      </c>
    </row>
    <row r="21" customFormat="false" ht="15.75" hidden="false" customHeight="true" outlineLevel="0" collapsed="false">
      <c r="B21" s="96" t="n">
        <v>3000</v>
      </c>
      <c r="C21" s="83" t="n">
        <f aca="false">MAX(3000-Assumptions!$C$7,0)-('Option Pricer'!C7)</f>
        <v>361.994139794141</v>
      </c>
      <c r="D21" s="91" t="n">
        <f aca="false">('Option Pricer'!C7)-MAX(3000-Assumptions!$C$7,0)</f>
        <v>-361.994139794141</v>
      </c>
      <c r="E21" s="91" t="n">
        <f aca="false">MAX(Assumptions!$C$7-3000,0)-('Option Pricer'!E7)</f>
        <v>-110.108302879819</v>
      </c>
      <c r="F21" s="83" t="n">
        <f aca="false">('Option Pricer'!E7)-MAX(Assumptions!$C$7-3000,0)</f>
        <v>110.108302879819</v>
      </c>
      <c r="G21" s="97" t="n">
        <f aca="false">C21+E21</f>
        <v>251.885836914322</v>
      </c>
      <c r="H21" s="97" t="n">
        <f aca="false">D21+F21</f>
        <v>-251.885836914322</v>
      </c>
      <c r="I21" s="97" t="n">
        <f aca="false">MAX(3000-Assumptions!$C$7,0)-MAX(3000-(Assumptions!$C$7+200),0)-('Option Pricer'!C7-MAX('Option Pricer'!C7*0.4,0))</f>
        <v>117.196483876485</v>
      </c>
      <c r="J21" s="97" t="n">
        <f aca="false">MAX(Assumptions!$C$7-3000,0)-MAX((Assumptions!$C$7-200)-3000,0)-('Option Pricer'!E7-MAX('Option Pricer'!E7*0.4,0))</f>
        <v>-66.0649817278912</v>
      </c>
    </row>
    <row r="22" customFormat="false" ht="15.75" hidden="false" customHeight="true" outlineLevel="0" collapsed="false">
      <c r="B22" s="93" t="n">
        <v>3100</v>
      </c>
      <c r="C22" s="81" t="n">
        <f aca="false">MAX(3100-Assumptions!$C$7,0)-('Option Pricer'!C7)</f>
        <v>461.994139794141</v>
      </c>
      <c r="D22" s="94" t="n">
        <f aca="false">('Option Pricer'!C7)-MAX(3100-Assumptions!$C$7,0)</f>
        <v>-461.994139794141</v>
      </c>
      <c r="E22" s="94" t="n">
        <f aca="false">MAX(Assumptions!$C$7-3100,0)-('Option Pricer'!E7)</f>
        <v>-110.108302879819</v>
      </c>
      <c r="F22" s="81" t="n">
        <f aca="false">('Option Pricer'!E7)-MAX(Assumptions!$C$7-3100,0)</f>
        <v>110.108302879819</v>
      </c>
      <c r="G22" s="95" t="n">
        <f aca="false">C22+E22</f>
        <v>351.885836914322</v>
      </c>
      <c r="H22" s="95" t="n">
        <f aca="false">D22+F22</f>
        <v>-351.885836914322</v>
      </c>
      <c r="I22" s="95" t="n">
        <f aca="false">MAX(3100-Assumptions!$C$7,0)-MAX(3100-(Assumptions!$C$7+200),0)-('Option Pricer'!C7-MAX('Option Pricer'!C7*0.4,0))</f>
        <v>117.196483876485</v>
      </c>
      <c r="J22" s="95" t="n">
        <f aca="false">MAX(Assumptions!$C$7-3100,0)-MAX((Assumptions!$C$7-200)-3100,0)-('Option Pricer'!E7-MAX('Option Pricer'!E7*0.4,0))</f>
        <v>-66.0649817278912</v>
      </c>
    </row>
    <row r="23" customFormat="false" ht="15.75" hidden="false" customHeight="true" outlineLevel="0" collapsed="false">
      <c r="B23" s="96" t="n">
        <v>3200</v>
      </c>
      <c r="C23" s="83" t="n">
        <f aca="false">MAX(3200-Assumptions!$C$7,0)-('Option Pricer'!C7)</f>
        <v>561.994139794141</v>
      </c>
      <c r="D23" s="91" t="n">
        <f aca="false">('Option Pricer'!C7)-MAX(3200-Assumptions!$C$7,0)</f>
        <v>-561.994139794141</v>
      </c>
      <c r="E23" s="91" t="n">
        <f aca="false">MAX(Assumptions!$C$7-3200,0)-('Option Pricer'!E7)</f>
        <v>-110.108302879819</v>
      </c>
      <c r="F23" s="83" t="n">
        <f aca="false">('Option Pricer'!E7)-MAX(Assumptions!$C$7-3200,0)</f>
        <v>110.108302879819</v>
      </c>
      <c r="G23" s="97" t="n">
        <f aca="false">C23+E23</f>
        <v>451.885836914322</v>
      </c>
      <c r="H23" s="97" t="n">
        <f aca="false">D23+F23</f>
        <v>-451.885836914322</v>
      </c>
      <c r="I23" s="97" t="n">
        <f aca="false">MAX(3200-Assumptions!$C$7,0)-MAX(3200-(Assumptions!$C$7+200),0)-('Option Pricer'!C7-MAX('Option Pricer'!C7*0.4,0))</f>
        <v>117.196483876485</v>
      </c>
      <c r="J23" s="97" t="n">
        <f aca="false">MAX(Assumptions!$C$7-3200,0)-MAX((Assumptions!$C$7-200)-3200,0)-('Option Pricer'!E7-MAX('Option Pricer'!E7*0.4,0))</f>
        <v>-66.0649817278912</v>
      </c>
    </row>
    <row r="24" customFormat="false" ht="15.75" hidden="false" customHeight="true" outlineLevel="0" collapsed="false">
      <c r="B24" s="93" t="n">
        <v>3300</v>
      </c>
      <c r="C24" s="81" t="n">
        <f aca="false">MAX(3300-Assumptions!$C$7,0)-('Option Pricer'!C7)</f>
        <v>661.994139794141</v>
      </c>
      <c r="D24" s="94" t="n">
        <f aca="false">('Option Pricer'!C7)-MAX(3300-Assumptions!$C$7,0)</f>
        <v>-661.994139794141</v>
      </c>
      <c r="E24" s="94" t="n">
        <f aca="false">MAX(Assumptions!$C$7-3300,0)-('Option Pricer'!E7)</f>
        <v>-110.108302879819</v>
      </c>
      <c r="F24" s="81" t="n">
        <f aca="false">('Option Pricer'!E7)-MAX(Assumptions!$C$7-3300,0)</f>
        <v>110.108302879819</v>
      </c>
      <c r="G24" s="95" t="n">
        <f aca="false">C24+E24</f>
        <v>551.885836914323</v>
      </c>
      <c r="H24" s="95" t="n">
        <f aca="false">D24+F24</f>
        <v>-551.885836914323</v>
      </c>
      <c r="I24" s="95" t="n">
        <f aca="false">MAX(3300-Assumptions!$C$7,0)-MAX(3300-(Assumptions!$C$7+200),0)-('Option Pricer'!C7-MAX('Option Pricer'!C7*0.4,0))</f>
        <v>117.196483876485</v>
      </c>
      <c r="J24" s="95" t="n">
        <f aca="false">MAX(Assumptions!$C$7-3300,0)-MAX((Assumptions!$C$7-200)-3300,0)-('Option Pricer'!E7-MAX('Option Pricer'!E7*0.4,0))</f>
        <v>-66.0649817278912</v>
      </c>
    </row>
    <row r="25" customFormat="false" ht="15.75" hidden="false" customHeight="true" outlineLevel="0" collapsed="false">
      <c r="B25" s="96" t="n">
        <v>3400</v>
      </c>
      <c r="C25" s="83" t="n">
        <f aca="false">MAX(3400-Assumptions!$C$7,0)-('Option Pricer'!C7)</f>
        <v>761.994139794141</v>
      </c>
      <c r="D25" s="91" t="n">
        <f aca="false">('Option Pricer'!C7)-MAX(3400-Assumptions!$C$7,0)</f>
        <v>-761.994139794141</v>
      </c>
      <c r="E25" s="91" t="n">
        <f aca="false">MAX(Assumptions!$C$7-3400,0)-('Option Pricer'!E7)</f>
        <v>-110.108302879819</v>
      </c>
      <c r="F25" s="83" t="n">
        <f aca="false">('Option Pricer'!E7)-MAX(Assumptions!$C$7-3400,0)</f>
        <v>110.108302879819</v>
      </c>
      <c r="G25" s="97" t="n">
        <f aca="false">C25+E25</f>
        <v>651.885836914323</v>
      </c>
      <c r="H25" s="97" t="n">
        <f aca="false">D25+F25</f>
        <v>-651.885836914323</v>
      </c>
      <c r="I25" s="97" t="n">
        <f aca="false">MAX(3400-Assumptions!$C$7,0)-MAX(3400-(Assumptions!$C$7+200),0)-('Option Pricer'!C7-MAX('Option Pricer'!C7*0.4,0))</f>
        <v>117.196483876485</v>
      </c>
      <c r="J25" s="97" t="n">
        <f aca="false">MAX(Assumptions!$C$7-3400,0)-MAX((Assumptions!$C$7-200)-3400,0)-('Option Pricer'!E7-MAX('Option Pricer'!E7*0.4,0))</f>
        <v>-66.0649817278912</v>
      </c>
    </row>
    <row r="26" customFormat="false" ht="15.75" hidden="false" customHeight="true" outlineLevel="0" collapsed="false">
      <c r="B26" s="93" t="n">
        <v>3500</v>
      </c>
      <c r="C26" s="81" t="n">
        <f aca="false">MAX(3500-Assumptions!$C$7,0)-('Option Pricer'!C7)</f>
        <v>861.994139794141</v>
      </c>
      <c r="D26" s="94" t="n">
        <f aca="false">('Option Pricer'!C7)-MAX(3500-Assumptions!$C$7,0)</f>
        <v>-861.994139794141</v>
      </c>
      <c r="E26" s="94" t="n">
        <f aca="false">MAX(Assumptions!$C$7-3500,0)-('Option Pricer'!E7)</f>
        <v>-110.108302879819</v>
      </c>
      <c r="F26" s="81" t="n">
        <f aca="false">('Option Pricer'!E7)-MAX(Assumptions!$C$7-3500,0)</f>
        <v>110.108302879819</v>
      </c>
      <c r="G26" s="95" t="n">
        <f aca="false">C26+E26</f>
        <v>751.885836914323</v>
      </c>
      <c r="H26" s="95" t="n">
        <f aca="false">D26+F26</f>
        <v>-751.885836914323</v>
      </c>
      <c r="I26" s="95" t="n">
        <f aca="false">MAX(3500-Assumptions!$C$7,0)-MAX(3500-(Assumptions!$C$7+200),0)-('Option Pricer'!C7-MAX('Option Pricer'!C7*0.4,0))</f>
        <v>117.196483876485</v>
      </c>
      <c r="J26" s="95" t="n">
        <f aca="false">MAX(Assumptions!$C$7-3500,0)-MAX((Assumptions!$C$7-200)-3500,0)-('Option Pricer'!E7-MAX('Option Pricer'!E7*0.4,0))</f>
        <v>-66.0649817278912</v>
      </c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2"/>
    <col collapsed="false" customWidth="true" hidden="false" outlineLevel="0" max="6" min="3" style="1" width="10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3" min="10" style="1" width="12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8" t="s">
        <v>173</v>
      </c>
      <c r="C2" s="18"/>
      <c r="D2" s="18"/>
      <c r="E2" s="18"/>
      <c r="F2" s="18"/>
      <c r="G2" s="18"/>
      <c r="H2" s="18"/>
      <c r="I2" s="18"/>
      <c r="J2" s="18"/>
      <c r="K2" s="18"/>
      <c r="L2" s="18"/>
    </row>
    <row r="3" customFormat="false" ht="18" hidden="false" customHeight="true" outlineLevel="0" collapsed="false">
      <c r="B3" s="19" t="s">
        <v>174</v>
      </c>
      <c r="C3" s="19"/>
      <c r="D3" s="19"/>
      <c r="E3" s="19"/>
      <c r="F3" s="19"/>
      <c r="G3" s="19"/>
      <c r="H3" s="19"/>
      <c r="I3" s="19"/>
      <c r="J3" s="19"/>
      <c r="K3" s="19"/>
      <c r="L3" s="19"/>
    </row>
    <row r="4" customFormat="false" ht="9.75" hidden="false" customHeight="true" outlineLevel="0" collapsed="false"/>
    <row r="5" customFormat="false" ht="36" hidden="false" customHeight="true" outlineLevel="0" collapsed="false">
      <c r="B5" s="31" t="s">
        <v>175</v>
      </c>
      <c r="C5" s="31" t="s">
        <v>104</v>
      </c>
      <c r="D5" s="31" t="s">
        <v>176</v>
      </c>
      <c r="E5" s="31" t="s">
        <v>177</v>
      </c>
      <c r="F5" s="31" t="s">
        <v>119</v>
      </c>
      <c r="G5" s="31" t="s">
        <v>178</v>
      </c>
      <c r="H5" s="31" t="s">
        <v>179</v>
      </c>
      <c r="I5" s="31" t="s">
        <v>180</v>
      </c>
      <c r="J5" s="31" t="s">
        <v>181</v>
      </c>
      <c r="K5" s="31" t="s">
        <v>182</v>
      </c>
      <c r="L5" s="31" t="s">
        <v>183</v>
      </c>
      <c r="M5" s="31" t="s">
        <v>184</v>
      </c>
    </row>
    <row r="6" customFormat="false" ht="15" hidden="false" customHeight="true" outlineLevel="0" collapsed="false">
      <c r="B6" s="93" t="n">
        <v>1500</v>
      </c>
      <c r="C6" s="102" t="str">
        <f aca="false">IF(1500&gt;=Assumptions!$C$7*1.05,"ITM",IF(1500&lt;=Assumptions!$C$7*0.95,"OTM","ATM"))</f>
        <v>OTM</v>
      </c>
      <c r="D6" s="103" t="n">
        <f aca="false">NORMSDIST((LN(1500/Assumptions!$C$7)+(Assumptions!$C$9-Assumptions!$C$11+Assumptions!$C$8^2/2)*Assumptions!$C$10)/(Assumptions!$C$8*SQRT(Assumptions!$C$10)))</f>
        <v>4.53700749336974E-005</v>
      </c>
      <c r="E6" s="104" t="n">
        <f aca="false">NORMSDIST((LN(1500/Assumptions!$C$7)+(Assumptions!$C$9-Assumptions!$C$11+Assumptions!$C$8^2/2)*Assumptions!$C$10)/(Assumptions!$C$8*SQRT(Assumptions!$C$10)))-1</f>
        <v>-0.999954629925066</v>
      </c>
      <c r="F6" s="105" t="n">
        <f aca="false">NORMDIST((LN(1500/Assumptions!$C$7)+(Assumptions!$C$9-Assumptions!$C$11+Assumptions!$C$8^2/2)*Assumptions!$C$10)/(Assumptions!$C$8*SQRT(Assumptions!$C$10)),0,1,FALSE())/(1500*Assumptions!$C$8*SQRT(Assumptions!$C$10))</f>
        <v>1.00268784828137E-006</v>
      </c>
      <c r="G6" s="106" t="n">
        <f aca="false">1500*NORMDIST((LN(1500/Assumptions!$C$7)+(Assumptions!$C$9-Assumptions!$C$11+Assumptions!$C$8^2/2)*Assumptions!$C$10)/(Assumptions!$C$8*SQRT(Assumptions!$C$10)),0,1,FALSE())*SQRT(Assumptions!$C$10)/100</f>
        <v>0.00141002978664568</v>
      </c>
      <c r="H6" s="103" t="n">
        <f aca="false">(-((1500*NORMDIST((LN(1500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(1500/Assumptions!$C$7)+(Assumptions!$C$9-Assumptions!$C$11+Assumptions!$C$8^2/2)*Assumptions!$C$10)/(Assumptions!$C$8*SQRT(Assumptions!$C$10)))-Assumptions!$C$8*SQRT(Assumptions!$C$10)))/365</f>
        <v>-0.000203123106764913</v>
      </c>
      <c r="I6" s="104" t="n">
        <f aca="false">(-((1500*NORMDIST((LN(1500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(1500/Assumptions!$C$7)+(Assumptions!$C$9-Assumptions!$C$11+Assumptions!$C$8^2/2)*Assumptions!$C$10)/(Assumptions!$C$8*SQRT(Assumptions!$C$10)))-Assumptions!$C$8*SQRT(Assumptions!$C$10))))/365</f>
        <v>0.371364859569176</v>
      </c>
      <c r="J6" s="103" t="n">
        <f aca="false">Assumptions!$C$7*Assumptions!$C$10*EXP(-Assumptions!$C$9*Assumptions!$C$10)*NORMSDIST(((LN(1500/Assumptions!$C$7)+(Assumptions!$C$9-Assumptions!$C$11+Assumptions!$C$8^2/2)*Assumptions!$C$10)/(Assumptions!$C$8*SQRT(Assumptions!$C$10)))-Assumptions!$C$8*SQRT(Assumptions!$C$10))*0.01</f>
        <v>0.000164970903908517</v>
      </c>
      <c r="K6" s="104" t="n">
        <f aca="false">-Assumptions!$C$7*Assumptions!$C$10*EXP(-Assumptions!$C$9*Assumptions!$C$10)*NORMSDIST(-(((LN(1500/Assumptions!$C$7)+(Assumptions!$C$9-Assumptions!$C$11+Assumptions!$C$8^2/2)*Assumptions!$C$10)/(Assumptions!$C$8*SQRT(Assumptions!$C$10)))-Assumptions!$C$8*SQRT(Assumptions!$C$10)))*0.01</f>
        <v>-6.14909327270039</v>
      </c>
      <c r="L6" s="107" t="n">
        <f aca="false">1500*EXP(-Assumptions!$C$11*Assumptions!$C$10)*NORMSDIST((LN(1500/Assumptions!$C$7)+(Assumptions!$C$9-Assumptions!$C$11+Assumptions!$C$8^2/2)*Assumptions!$C$10)/(Assumptions!$C$8*SQRT(Assumptions!$C$10)))-Assumptions!$C$7*EXP(-Assumptions!$C$9*Assumptions!$C$10)*NORMSDIST(((LN(1500/Assumptions!$C$7)+(Assumptions!$C$9-Assumptions!$C$11+Assumptions!$C$8^2/2)*Assumptions!$C$10)/(Assumptions!$C$8*SQRT(Assumptions!$C$10)))-Assumptions!$C$8*SQRT(Assumptions!$C$10))</f>
        <v>0.00189682555124795</v>
      </c>
      <c r="M6" s="108" t="n">
        <f aca="false">Assumptions!$C$7*EXP(-Assumptions!$C$9*Assumptions!$C$10)*NORMSDIST(-(((LN(1500/Assumptions!$C$7)+(Assumptions!$C$9-Assumptions!$C$11+Assumptions!$C$8^2/2)*Assumptions!$C$10)/(Assumptions!$C$8*SQRT(Assumptions!$C$10)))-Assumptions!$C$8*SQRT(Assumptions!$C$10)))-1500*EXP(-Assumptions!$C$11*Assumptions!$C$10)*NORMSDIST(-((LN(1500/Assumptions!$C$7)+(Assumptions!$C$9-Assumptions!$C$11+Assumptions!$C$8^2/2)*Assumptions!$C$10)/(Assumptions!$C$8*SQRT(Assumptions!$C$10))))</f>
        <v>963.450510671079</v>
      </c>
    </row>
    <row r="7" customFormat="false" ht="15" hidden="false" customHeight="true" outlineLevel="0" collapsed="false">
      <c r="B7" s="96" t="n">
        <v>1550</v>
      </c>
      <c r="C7" s="109" t="str">
        <f aca="false">IF(1550&gt;=Assumptions!$C$7*1.05,"ITM",IF(1550&lt;=Assumptions!$C$7*0.95,"OTM","ATM"))</f>
        <v>OTM</v>
      </c>
      <c r="D7" s="110" t="n">
        <f aca="false">NORMSDIST((LN(1550/Assumptions!$C$7)+(Assumptions!$C$9-Assumptions!$C$11+Assumptions!$C$8^2/2)*Assumptions!$C$10)/(Assumptions!$C$8*SQRT(Assumptions!$C$10)))</f>
        <v>0.000130211222936654</v>
      </c>
      <c r="E7" s="111" t="n">
        <f aca="false">NORMSDIST((LN(1550/Assumptions!$C$7)+(Assumptions!$C$9-Assumptions!$C$11+Assumptions!$C$8^2/2)*Assumptions!$C$10)/(Assumptions!$C$8*SQRT(Assumptions!$C$10)))-1</f>
        <v>-0.999869788777063</v>
      </c>
      <c r="F7" s="112" t="n">
        <f aca="false">NORMDIST((LN(1550/Assumptions!$C$7)+(Assumptions!$C$9-Assumptions!$C$11+Assumptions!$C$8^2/2)*Assumptions!$C$10)/(Assumptions!$C$8*SQRT(Assumptions!$C$10)),0,1,FALSE())/(1550*Assumptions!$C$8*SQRT(Assumptions!$C$10))</f>
        <v>2.61753065006279E-006</v>
      </c>
      <c r="G7" s="113" t="n">
        <f aca="false">1550*NORMDIST((LN(1550/Assumptions!$C$7)+(Assumptions!$C$9-Assumptions!$C$11+Assumptions!$C$8^2/2)*Assumptions!$C$10)/(Assumptions!$C$8*SQRT(Assumptions!$C$10)),0,1,FALSE())*SQRT(Assumptions!$C$10)/100</f>
        <v>0.0039303858667349</v>
      </c>
      <c r="H7" s="110" t="n">
        <f aca="false">(-((1550*NORMDIST((LN(1550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(1550/Assumptions!$C$7)+(Assumptions!$C$9-Assumptions!$C$11+Assumptions!$C$8^2/2)*Assumptions!$C$10)/(Assumptions!$C$8*SQRT(Assumptions!$C$10)))-Assumptions!$C$8*SQRT(Assumptions!$C$10)))/365</f>
        <v>-0.000567923569949028</v>
      </c>
      <c r="I7" s="111" t="n">
        <f aca="false">(-((1550*NORMDIST((LN(1550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(1550/Assumptions!$C$7)+(Assumptions!$C$9-Assumptions!$C$11+Assumptions!$C$8^2/2)*Assumptions!$C$10)/(Assumptions!$C$8*SQRT(Assumptions!$C$10)))-Assumptions!$C$8*SQRT(Assumptions!$C$10))))/365</f>
        <v>0.371000059105992</v>
      </c>
      <c r="J7" s="110" t="n">
        <f aca="false">Assumptions!$C$7*Assumptions!$C$10*EXP(-Assumptions!$C$9*Assumptions!$C$10)*NORMSDIST(((LN(1550/Assumptions!$C$7)+(Assumptions!$C$9-Assumptions!$C$11+Assumptions!$C$8^2/2)*Assumptions!$C$10)/(Assumptions!$C$8*SQRT(Assumptions!$C$10)))-Assumptions!$C$8*SQRT(Assumptions!$C$10))*0.01</f>
        <v>0.000488450513973056</v>
      </c>
      <c r="K7" s="111" t="n">
        <f aca="false">-Assumptions!$C$7*Assumptions!$C$10*EXP(-Assumptions!$C$9*Assumptions!$C$10)*NORMSDIST(-(((LN(1550/Assumptions!$C$7)+(Assumptions!$C$9-Assumptions!$C$11+Assumptions!$C$8^2/2)*Assumptions!$C$10)/(Assumptions!$C$8*SQRT(Assumptions!$C$10)))-Assumptions!$C$8*SQRT(Assumptions!$C$10)))*0.01</f>
        <v>-6.14876979309032</v>
      </c>
      <c r="L7" s="114" t="n">
        <f aca="false">1550*EXP(-Assumptions!$C$11*Assumptions!$C$10)*NORMSDIST((LN(1550/Assumptions!$C$7)+(Assumptions!$C$9-Assumptions!$C$11+Assumptions!$C$8^2/2)*Assumptions!$C$10)/(Assumptions!$C$8*SQRT(Assumptions!$C$10)))-Assumptions!$C$7*EXP(-Assumptions!$C$9*Assumptions!$C$10)*NORMSDIST(((LN(1550/Assumptions!$C$7)+(Assumptions!$C$9-Assumptions!$C$11+Assumptions!$C$8^2/2)*Assumptions!$C$10)/(Assumptions!$C$8*SQRT(Assumptions!$C$10)))-Assumptions!$C$8*SQRT(Assumptions!$C$10))</f>
        <v>0.00594325165905915</v>
      </c>
      <c r="M7" s="115" t="n">
        <f aca="false">Assumptions!$C$7*EXP(-Assumptions!$C$9*Assumptions!$C$10)*NORMSDIST(-(((LN(1550/Assumptions!$C$7)+(Assumptions!$C$9-Assumptions!$C$11+Assumptions!$C$8^2/2)*Assumptions!$C$10)/(Assumptions!$C$8*SQRT(Assumptions!$C$10)))-Assumptions!$C$8*SQRT(Assumptions!$C$10)))-1550*EXP(-Assumptions!$C$11*Assumptions!$C$10)*NORMSDIST(-((LN(1550/Assumptions!$C$7)+(Assumptions!$C$9-Assumptions!$C$11+Assumptions!$C$8^2/2)*Assumptions!$C$10)/(Assumptions!$C$8*SQRT(Assumptions!$C$10))))</f>
        <v>913.579400977314</v>
      </c>
    </row>
    <row r="8" customFormat="false" ht="15" hidden="false" customHeight="true" outlineLevel="0" collapsed="false">
      <c r="B8" s="93" t="n">
        <v>1600</v>
      </c>
      <c r="C8" s="102" t="str">
        <f aca="false">IF(1600&gt;=Assumptions!$C$7*1.05,"ITM",IF(1600&lt;=Assumptions!$C$7*0.95,"OTM","ATM"))</f>
        <v>OTM</v>
      </c>
      <c r="D8" s="103" t="n">
        <f aca="false">NORMSDIST((LN(1600/Assumptions!$C$7)+(Assumptions!$C$9-Assumptions!$C$11+Assumptions!$C$8^2/2)*Assumptions!$C$10)/(Assumptions!$C$8*SQRT(Assumptions!$C$10)))</f>
        <v>0.000339654256287497</v>
      </c>
      <c r="E8" s="104" t="n">
        <f aca="false">NORMSDIST((LN(1600/Assumptions!$C$7)+(Assumptions!$C$9-Assumptions!$C$11+Assumptions!$C$8^2/2)*Assumptions!$C$10)/(Assumptions!$C$8*SQRT(Assumptions!$C$10)))-1</f>
        <v>-0.999660345743713</v>
      </c>
      <c r="F8" s="105" t="n">
        <f aca="false">NORMDIST((LN(1600/Assumptions!$C$7)+(Assumptions!$C$9-Assumptions!$C$11+Assumptions!$C$8^2/2)*Assumptions!$C$10)/(Assumptions!$C$8*SQRT(Assumptions!$C$10)),0,1,FALSE())/(1600*Assumptions!$C$8*SQRT(Assumptions!$C$10))</f>
        <v>6.20740565490824E-006</v>
      </c>
      <c r="G8" s="106" t="n">
        <f aca="false">1600*NORMDIST((LN(1600/Assumptions!$C$7)+(Assumptions!$C$9-Assumptions!$C$11+Assumptions!$C$8^2/2)*Assumptions!$C$10)/(Assumptions!$C$8*SQRT(Assumptions!$C$10)),0,1,FALSE())*SQRT(Assumptions!$C$10)/100</f>
        <v>0.00993184904785318</v>
      </c>
      <c r="H8" s="103" t="n">
        <f aca="false">(-((1600*NORMDIST((LN(1600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(1600/Assumptions!$C$7)+(Assumptions!$C$9-Assumptions!$C$11+Assumptions!$C$8^2/2)*Assumptions!$C$10)/(Assumptions!$C$8*SQRT(Assumptions!$C$10)))-Assumptions!$C$8*SQRT(Assumptions!$C$10)))/365</f>
        <v>-0.00143986048378013</v>
      </c>
      <c r="I8" s="104" t="n">
        <f aca="false">(-((1600*NORMDIST((LN(1600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(1600/Assumptions!$C$7)+(Assumptions!$C$9-Assumptions!$C$11+Assumptions!$C$8^2/2)*Assumptions!$C$10)/(Assumptions!$C$8*SQRT(Assumptions!$C$10)))-Assumptions!$C$8*SQRT(Assumptions!$C$10))))/365</f>
        <v>0.370128122192161</v>
      </c>
      <c r="J8" s="103" t="n">
        <f aca="false">Assumptions!$C$7*Assumptions!$C$10*EXP(-Assumptions!$C$9*Assumptions!$C$10)*NORMSDIST(((LN(1600/Assumptions!$C$7)+(Assumptions!$C$9-Assumptions!$C$11+Assumptions!$C$8^2/2)*Assumptions!$C$10)/(Assumptions!$C$8*SQRT(Assumptions!$C$10)))-Assumptions!$C$8*SQRT(Assumptions!$C$10))*0.01</f>
        <v>0.00131292377457769</v>
      </c>
      <c r="K8" s="104" t="n">
        <f aca="false">-Assumptions!$C$7*Assumptions!$C$10*EXP(-Assumptions!$C$9*Assumptions!$C$10)*NORMSDIST(-(((LN(1600/Assumptions!$C$7)+(Assumptions!$C$9-Assumptions!$C$11+Assumptions!$C$8^2/2)*Assumptions!$C$10)/(Assumptions!$C$8*SQRT(Assumptions!$C$10)))-Assumptions!$C$8*SQRT(Assumptions!$C$10)))*0.01</f>
        <v>-6.14794531982972</v>
      </c>
      <c r="L8" s="107" t="n">
        <f aca="false">1600*EXP(-Assumptions!$C$11*Assumptions!$C$10)*NORMSDIST((LN(1600/Assumptions!$C$7)+(Assumptions!$C$9-Assumptions!$C$11+Assumptions!$C$8^2/2)*Assumptions!$C$10)/(Assumptions!$C$8*SQRT(Assumptions!$C$10)))-Assumptions!$C$7*EXP(-Assumptions!$C$9*Assumptions!$C$10)*NORMSDIST(((LN(1600/Assumptions!$C$7)+(Assumptions!$C$9-Assumptions!$C$11+Assumptions!$C$8^2/2)*Assumptions!$C$10)/(Assumptions!$C$8*SQRT(Assumptions!$C$10)))-Assumptions!$C$8*SQRT(Assumptions!$C$10))</f>
        <v>0.0169203800607077</v>
      </c>
      <c r="M8" s="108" t="n">
        <f aca="false">Assumptions!$C$7*EXP(-Assumptions!$C$9*Assumptions!$C$10)*NORMSDIST(-(((LN(1600/Assumptions!$C$7)+(Assumptions!$C$9-Assumptions!$C$11+Assumptions!$C$8^2/2)*Assumptions!$C$10)/(Assumptions!$C$8*SQRT(Assumptions!$C$10)))-Assumptions!$C$8*SQRT(Assumptions!$C$10)))-1600*EXP(-Assumptions!$C$11*Assumptions!$C$10)*NORMSDIST(-((LN(1600/Assumptions!$C$7)+(Assumptions!$C$9-Assumptions!$C$11+Assumptions!$C$8^2/2)*Assumptions!$C$10)/(Assumptions!$C$8*SQRT(Assumptions!$C$10))))</f>
        <v>863.715221985843</v>
      </c>
    </row>
    <row r="9" customFormat="false" ht="15" hidden="false" customHeight="true" outlineLevel="0" collapsed="false">
      <c r="B9" s="96" t="n">
        <v>1650</v>
      </c>
      <c r="C9" s="109" t="str">
        <f aca="false">IF(1650&gt;=Assumptions!$C$7*1.05,"ITM",IF(1650&lt;=Assumptions!$C$7*0.95,"OTM","ATM"))</f>
        <v>OTM</v>
      </c>
      <c r="D9" s="110" t="n">
        <f aca="false">NORMSDIST((LN(1650/Assumptions!$C$7)+(Assumptions!$C$9-Assumptions!$C$11+Assumptions!$C$8^2/2)*Assumptions!$C$10)/(Assumptions!$C$8*SQRT(Assumptions!$C$10)))</f>
        <v>0.000811827272653347</v>
      </c>
      <c r="E9" s="111" t="n">
        <f aca="false">NORMSDIST((LN(1650/Assumptions!$C$7)+(Assumptions!$C$9-Assumptions!$C$11+Assumptions!$C$8^2/2)*Assumptions!$C$10)/(Assumptions!$C$8*SQRT(Assumptions!$C$10)))-1</f>
        <v>-0.999188172727347</v>
      </c>
      <c r="F9" s="112" t="n">
        <f aca="false">NORMDIST((LN(1650/Assumptions!$C$7)+(Assumptions!$C$9-Assumptions!$C$11+Assumptions!$C$8^2/2)*Assumptions!$C$10)/(Assumptions!$C$8*SQRT(Assumptions!$C$10)),0,1,FALSE())/(1650*Assumptions!$C$8*SQRT(Assumptions!$C$10))</f>
        <v>1.34787920879564E-005</v>
      </c>
      <c r="G9" s="113" t="n">
        <f aca="false">1650*NORMDIST((LN(1650/Assumptions!$C$7)+(Assumptions!$C$9-Assumptions!$C$11+Assumptions!$C$8^2/2)*Assumptions!$C$10)/(Assumptions!$C$8*SQRT(Assumptions!$C$10)),0,1,FALSE())*SQRT(Assumptions!$C$10)/100</f>
        <v>0.0229350071621633</v>
      </c>
      <c r="H9" s="110" t="n">
        <f aca="false">(-((1650*NORMDIST((LN(1650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(1650/Assumptions!$C$7)+(Assumptions!$C$9-Assumptions!$C$11+Assumptions!$C$8^2/2)*Assumptions!$C$10)/(Assumptions!$C$8*SQRT(Assumptions!$C$10)))-Assumptions!$C$8*SQRT(Assumptions!$C$10)))/365</f>
        <v>-0.00333695965933628</v>
      </c>
      <c r="I9" s="111" t="n">
        <f aca="false">(-((1650*NORMDIST((LN(1650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(1650/Assumptions!$C$7)+(Assumptions!$C$9-Assumptions!$C$11+Assumptions!$C$8^2/2)*Assumptions!$C$10)/(Assumptions!$C$8*SQRT(Assumptions!$C$10)))-Assumptions!$C$8*SQRT(Assumptions!$C$10))))/365</f>
        <v>0.368231023016605</v>
      </c>
      <c r="J9" s="110" t="n">
        <f aca="false">Assumptions!$C$7*Assumptions!$C$10*EXP(-Assumptions!$C$9*Assumptions!$C$10)*NORMSDIST(((LN(1650/Assumptions!$C$7)+(Assumptions!$C$9-Assumptions!$C$11+Assumptions!$C$8^2/2)*Assumptions!$C$10)/(Assumptions!$C$8*SQRT(Assumptions!$C$10)))-Assumptions!$C$8*SQRT(Assumptions!$C$10))*0.01</f>
        <v>0.00323009273613822</v>
      </c>
      <c r="K9" s="111" t="n">
        <f aca="false">-Assumptions!$C$7*Assumptions!$C$10*EXP(-Assumptions!$C$9*Assumptions!$C$10)*NORMSDIST(-(((LN(1650/Assumptions!$C$7)+(Assumptions!$C$9-Assumptions!$C$11+Assumptions!$C$8^2/2)*Assumptions!$C$10)/(Assumptions!$C$8*SQRT(Assumptions!$C$10)))-Assumptions!$C$8*SQRT(Assumptions!$C$10)))*0.01</f>
        <v>-6.14602815086816</v>
      </c>
      <c r="L9" s="114" t="n">
        <f aca="false">1650*EXP(-Assumptions!$C$11*Assumptions!$C$10)*NORMSDIST((LN(1650/Assumptions!$C$7)+(Assumptions!$C$9-Assumptions!$C$11+Assumptions!$C$8^2/2)*Assumptions!$C$10)/(Assumptions!$C$8*SQRT(Assumptions!$C$10)))-Assumptions!$C$7*EXP(-Assumptions!$C$9*Assumptions!$C$10)*NORMSDIST(((LN(1650/Assumptions!$C$7)+(Assumptions!$C$9-Assumptions!$C$11+Assumptions!$C$8^2/2)*Assumptions!$C$10)/(Assumptions!$C$8*SQRT(Assumptions!$C$10)))-Assumptions!$C$8*SQRT(Assumptions!$C$10))</f>
        <v>0.0441333004212727</v>
      </c>
      <c r="M9" s="115" t="n">
        <f aca="false">Assumptions!$C$7*EXP(-Assumptions!$C$9*Assumptions!$C$10)*NORMSDIST(-(((LN(1650/Assumptions!$C$7)+(Assumptions!$C$9-Assumptions!$C$11+Assumptions!$C$8^2/2)*Assumptions!$C$10)/(Assumptions!$C$8*SQRT(Assumptions!$C$10)))-Assumptions!$C$8*SQRT(Assumptions!$C$10)))-1650*EXP(-Assumptions!$C$11*Assumptions!$C$10)*NORMSDIST(-((LN(1650/Assumptions!$C$7)+(Assumptions!$C$9-Assumptions!$C$11+Assumptions!$C$8^2/2)*Assumptions!$C$10)/(Assumptions!$C$8*SQRT(Assumptions!$C$10))))</f>
        <v>813.867278786331</v>
      </c>
    </row>
    <row r="10" customFormat="false" ht="15" hidden="false" customHeight="true" outlineLevel="0" collapsed="false">
      <c r="B10" s="93" t="n">
        <v>1700</v>
      </c>
      <c r="C10" s="102" t="str">
        <f aca="false">IF(1700&gt;=Assumptions!$C$7*1.05,"ITM",IF(1700&lt;=Assumptions!$C$7*0.95,"OTM","ATM"))</f>
        <v>OTM</v>
      </c>
      <c r="D10" s="103" t="n">
        <f aca="false">NORMSDIST((LN(1700/Assumptions!$C$7)+(Assumptions!$C$9-Assumptions!$C$11+Assumptions!$C$8^2/2)*Assumptions!$C$10)/(Assumptions!$C$8*SQRT(Assumptions!$C$10)))</f>
        <v>0.00179102058410462</v>
      </c>
      <c r="E10" s="104" t="n">
        <f aca="false">NORMSDIST((LN(1700/Assumptions!$C$7)+(Assumptions!$C$9-Assumptions!$C$11+Assumptions!$C$8^2/2)*Assumptions!$C$10)/(Assumptions!$C$8*SQRT(Assumptions!$C$10)))-1</f>
        <v>-0.998208979415895</v>
      </c>
      <c r="F10" s="105" t="n">
        <f aca="false">NORMDIST((LN(1700/Assumptions!$C$7)+(Assumptions!$C$9-Assumptions!$C$11+Assumptions!$C$8^2/2)*Assumptions!$C$10)/(Assumptions!$C$8*SQRT(Assumptions!$C$10)),0,1,FALSE())/(1700*Assumptions!$C$8*SQRT(Assumptions!$C$10))</f>
        <v>2.69889780832663E-005</v>
      </c>
      <c r="G10" s="106" t="n">
        <f aca="false">1700*NORMDIST((LN(1700/Assumptions!$C$7)+(Assumptions!$C$9-Assumptions!$C$11+Assumptions!$C$8^2/2)*Assumptions!$C$10)/(Assumptions!$C$8*SQRT(Assumptions!$C$10)),0,1,FALSE())*SQRT(Assumptions!$C$10)/100</f>
        <v>0.0487488416628997</v>
      </c>
      <c r="H10" s="103" t="n">
        <f aca="false">(-((1700*NORMDIST((LN(1700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(1700/Assumptions!$C$7)+(Assumptions!$C$9-Assumptions!$C$11+Assumptions!$C$8^2/2)*Assumptions!$C$10)/(Assumptions!$C$8*SQRT(Assumptions!$C$10)))-Assumptions!$C$8*SQRT(Assumptions!$C$10)))/365</f>
        <v>-0.00712066940266094</v>
      </c>
      <c r="I10" s="104" t="n">
        <f aca="false">(-((1700*NORMDIST((LN(1700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(1700/Assumptions!$C$7)+(Assumptions!$C$9-Assumptions!$C$11+Assumptions!$C$8^2/2)*Assumptions!$C$10)/(Assumptions!$C$8*SQRT(Assumptions!$C$10)))-Assumptions!$C$8*SQRT(Assumptions!$C$10))))/365</f>
        <v>0.36444731327328</v>
      </c>
      <c r="J10" s="103" t="n">
        <f aca="false">Assumptions!$C$7*Assumptions!$C$10*EXP(-Assumptions!$C$9*Assumptions!$C$10)*NORMSDIST(((LN(1700/Assumptions!$C$7)+(Assumptions!$C$9-Assumptions!$C$11+Assumptions!$C$8^2/2)*Assumptions!$C$10)/(Assumptions!$C$8*SQRT(Assumptions!$C$10)))-Assumptions!$C$8*SQRT(Assumptions!$C$10))*0.01</f>
        <v>0.00732721580866569</v>
      </c>
      <c r="K10" s="104" t="n">
        <f aca="false">-Assumptions!$C$7*Assumptions!$C$10*EXP(-Assumptions!$C$9*Assumptions!$C$10)*NORMSDIST(-(((LN(1700/Assumptions!$C$7)+(Assumptions!$C$9-Assumptions!$C$11+Assumptions!$C$8^2/2)*Assumptions!$C$10)/(Assumptions!$C$8*SQRT(Assumptions!$C$10)))-Assumptions!$C$8*SQRT(Assumptions!$C$10)))*0.01</f>
        <v>-6.14193102779563</v>
      </c>
      <c r="L10" s="107" t="n">
        <f aca="false">1700*EXP(-Assumptions!$C$11*Assumptions!$C$10)*NORMSDIST((LN(1700/Assumptions!$C$7)+(Assumptions!$C$9-Assumptions!$C$11+Assumptions!$C$8^2/2)*Assumptions!$C$10)/(Assumptions!$C$8*SQRT(Assumptions!$C$10)))-Assumptions!$C$7*EXP(-Assumptions!$C$9*Assumptions!$C$10)*NORMSDIST(((LN(1700/Assumptions!$C$7)+(Assumptions!$C$9-Assumptions!$C$11+Assumptions!$C$8^2/2)*Assumptions!$C$10)/(Assumptions!$C$8*SQRT(Assumptions!$C$10)))-Assumptions!$C$8*SQRT(Assumptions!$C$10))</f>
        <v>0.106246338901939</v>
      </c>
      <c r="M10" s="108" t="n">
        <f aca="false">Assumptions!$C$7*EXP(-Assumptions!$C$9*Assumptions!$C$10)*NORMSDIST(-(((LN(1700/Assumptions!$C$7)+(Assumptions!$C$9-Assumptions!$C$11+Assumptions!$C$8^2/2)*Assumptions!$C$10)/(Assumptions!$C$8*SQRT(Assumptions!$C$10)))-Assumptions!$C$8*SQRT(Assumptions!$C$10)))-1700*EXP(-Assumptions!$C$11*Assumptions!$C$10)*NORMSDIST(-((LN(1700/Assumptions!$C$7)+(Assumptions!$C$9-Assumptions!$C$11+Assumptions!$C$8^2/2)*Assumptions!$C$10)/(Assumptions!$C$8*SQRT(Assumptions!$C$10))))</f>
        <v>764.054235704939</v>
      </c>
    </row>
    <row r="11" customFormat="false" ht="15" hidden="false" customHeight="true" outlineLevel="0" collapsed="false">
      <c r="B11" s="96" t="n">
        <v>1750</v>
      </c>
      <c r="C11" s="109" t="str">
        <f aca="false">IF(1750&gt;=Assumptions!$C$7*1.05,"ITM",IF(1750&lt;=Assumptions!$C$7*0.95,"OTM","ATM"))</f>
        <v>OTM</v>
      </c>
      <c r="D11" s="110" t="n">
        <f aca="false">NORMSDIST((LN(1750/Assumptions!$C$7)+(Assumptions!$C$9-Assumptions!$C$11+Assumptions!$C$8^2/2)*Assumptions!$C$10)/(Assumptions!$C$8*SQRT(Assumptions!$C$10)))</f>
        <v>0.00367122761416335</v>
      </c>
      <c r="E11" s="111" t="n">
        <f aca="false">NORMSDIST((LN(1750/Assumptions!$C$7)+(Assumptions!$C$9-Assumptions!$C$11+Assumptions!$C$8^2/2)*Assumptions!$C$10)/(Assumptions!$C$8*SQRT(Assumptions!$C$10)))-1</f>
        <v>-0.996328772385837</v>
      </c>
      <c r="F11" s="112" t="n">
        <f aca="false">NORMDIST((LN(1750/Assumptions!$C$7)+(Assumptions!$C$9-Assumptions!$C$11+Assumptions!$C$8^2/2)*Assumptions!$C$10)/(Assumptions!$C$8*SQRT(Assumptions!$C$10)),0,1,FALSE())/(1750*Assumptions!$C$8*SQRT(Assumptions!$C$10))</f>
        <v>5.01506410450202E-005</v>
      </c>
      <c r="G11" s="113" t="n">
        <f aca="false">1750*NORMDIST((LN(1750/Assumptions!$C$7)+(Assumptions!$C$9-Assumptions!$C$11+Assumptions!$C$8^2/2)*Assumptions!$C$10)/(Assumptions!$C$8*SQRT(Assumptions!$C$10)),0,1,FALSE())*SQRT(Assumptions!$C$10)/100</f>
        <v>0.095991461375234</v>
      </c>
      <c r="H11" s="110" t="n">
        <f aca="false">(-((1750*NORMDIST((LN(1750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(1750/Assumptions!$C$7)+(Assumptions!$C$9-Assumptions!$C$11+Assumptions!$C$8^2/2)*Assumptions!$C$10)/(Assumptions!$C$8*SQRT(Assumptions!$C$10)))-Assumptions!$C$8*SQRT(Assumptions!$C$10)))/365</f>
        <v>-0.0140817111655908</v>
      </c>
      <c r="I11" s="111" t="n">
        <f aca="false">(-((1750*NORMDIST((LN(1750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(1750/Assumptions!$C$7)+(Assumptions!$C$9-Assumptions!$C$11+Assumptions!$C$8^2/2)*Assumptions!$C$10)/(Assumptions!$C$8*SQRT(Assumptions!$C$10)))-Assumptions!$C$8*SQRT(Assumptions!$C$10))))/365</f>
        <v>0.35748627151035</v>
      </c>
      <c r="J11" s="110" t="n">
        <f aca="false">Assumptions!$C$7*Assumptions!$C$10*EXP(-Assumptions!$C$9*Assumptions!$C$10)*NORMSDIST(((LN(1750/Assumptions!$C$7)+(Assumptions!$C$9-Assumptions!$C$11+Assumptions!$C$8^2/2)*Assumptions!$C$10)/(Assumptions!$C$8*SQRT(Assumptions!$C$10)))-Assumptions!$C$8*SQRT(Assumptions!$C$10))*0.01</f>
        <v>0.0154273609233047</v>
      </c>
      <c r="K11" s="111" t="n">
        <f aca="false">-Assumptions!$C$7*Assumptions!$C$10*EXP(-Assumptions!$C$9*Assumptions!$C$10)*NORMSDIST(-(((LN(1750/Assumptions!$C$7)+(Assumptions!$C$9-Assumptions!$C$11+Assumptions!$C$8^2/2)*Assumptions!$C$10)/(Assumptions!$C$8*SQRT(Assumptions!$C$10)))-Assumptions!$C$8*SQRT(Assumptions!$C$10)))*0.01</f>
        <v>-6.13383088268099</v>
      </c>
      <c r="L11" s="114" t="n">
        <f aca="false">1750*EXP(-Assumptions!$C$11*Assumptions!$C$10)*NORMSDIST((LN(1750/Assumptions!$C$7)+(Assumptions!$C$9-Assumptions!$C$11+Assumptions!$C$8^2/2)*Assumptions!$C$10)/(Assumptions!$C$8*SQRT(Assumptions!$C$10)))-Assumptions!$C$7*EXP(-Assumptions!$C$9*Assumptions!$C$10)*NORMSDIST(((LN(1750/Assumptions!$C$7)+(Assumptions!$C$9-Assumptions!$C$11+Assumptions!$C$8^2/2)*Assumptions!$C$10)/(Assumptions!$C$8*SQRT(Assumptions!$C$10)))-Assumptions!$C$8*SQRT(Assumptions!$C$10))</f>
        <v>0.237662394957636</v>
      </c>
      <c r="M11" s="115" t="n">
        <f aca="false">Assumptions!$C$7*EXP(-Assumptions!$C$9*Assumptions!$C$10)*NORMSDIST(-(((LN(1750/Assumptions!$C$7)+(Assumptions!$C$9-Assumptions!$C$11+Assumptions!$C$8^2/2)*Assumptions!$C$10)/(Assumptions!$C$8*SQRT(Assumptions!$C$10)))-Assumptions!$C$8*SQRT(Assumptions!$C$10)))-1750*EXP(-Assumptions!$C$11*Assumptions!$C$10)*NORMSDIST(-((LN(1750/Assumptions!$C$7)+(Assumptions!$C$9-Assumptions!$C$11+Assumptions!$C$8^2/2)*Assumptions!$C$10)/(Assumptions!$C$8*SQRT(Assumptions!$C$10))))</f>
        <v>714.310495641121</v>
      </c>
    </row>
    <row r="12" customFormat="false" ht="15" hidden="false" customHeight="true" outlineLevel="0" collapsed="false">
      <c r="B12" s="93" t="n">
        <v>1800</v>
      </c>
      <c r="C12" s="102" t="str">
        <f aca="false">IF(1800&gt;=Assumptions!$C$7*1.05,"ITM",IF(1800&lt;=Assumptions!$C$7*0.95,"OTM","ATM"))</f>
        <v>OTM</v>
      </c>
      <c r="D12" s="103" t="n">
        <f aca="false">NORMSDIST((LN(1800/Assumptions!$C$7)+(Assumptions!$C$9-Assumptions!$C$11+Assumptions!$C$8^2/2)*Assumptions!$C$10)/(Assumptions!$C$8*SQRT(Assumptions!$C$10)))</f>
        <v>0.00703380088799277</v>
      </c>
      <c r="E12" s="104" t="n">
        <f aca="false">NORMSDIST((LN(1800/Assumptions!$C$7)+(Assumptions!$C$9-Assumptions!$C$11+Assumptions!$C$8^2/2)*Assumptions!$C$10)/(Assumptions!$C$8*SQRT(Assumptions!$C$10)))-1</f>
        <v>-0.992966199112007</v>
      </c>
      <c r="F12" s="105" t="n">
        <f aca="false">NORMDIST((LN(1800/Assumptions!$C$7)+(Assumptions!$C$9-Assumptions!$C$11+Assumptions!$C$8^2/2)*Assumptions!$C$10)/(Assumptions!$C$8*SQRT(Assumptions!$C$10)),0,1,FALSE())/(1800*Assumptions!$C$8*SQRT(Assumptions!$C$10))</f>
        <v>8.69776862112323E-005</v>
      </c>
      <c r="G12" s="106" t="n">
        <f aca="false">1800*NORMDIST((LN(1800/Assumptions!$C$7)+(Assumptions!$C$9-Assumptions!$C$11+Assumptions!$C$8^2/2)*Assumptions!$C$10)/(Assumptions!$C$8*SQRT(Assumptions!$C$10)),0,1,FALSE())*SQRT(Assumptions!$C$10)/100</f>
        <v>0.176129814577745</v>
      </c>
      <c r="H12" s="103" t="n">
        <f aca="false">(-((1800*NORMDIST((LN(1800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(1800/Assumptions!$C$7)+(Assumptions!$C$9-Assumptions!$C$11+Assumptions!$C$8^2/2)*Assumptions!$C$10)/(Assumptions!$C$8*SQRT(Assumptions!$C$10)))-Assumptions!$C$8*SQRT(Assumptions!$C$10)))/365</f>
        <v>-0.0259600948949263</v>
      </c>
      <c r="I12" s="104" t="n">
        <f aca="false">(-((1800*NORMDIST((LN(1800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(1800/Assumptions!$C$7)+(Assumptions!$C$9-Assumptions!$C$11+Assumptions!$C$8^2/2)*Assumptions!$C$10)/(Assumptions!$C$8*SQRT(Assumptions!$C$10)))-Assumptions!$C$8*SQRT(Assumptions!$C$10))))/365</f>
        <v>0.345607887781015</v>
      </c>
      <c r="J12" s="103" t="n">
        <f aca="false">Assumptions!$C$7*Assumptions!$C$10*EXP(-Assumptions!$C$9*Assumptions!$C$10)*NORMSDIST(((LN(1800/Assumptions!$C$7)+(Assumptions!$C$9-Assumptions!$C$11+Assumptions!$C$8^2/2)*Assumptions!$C$10)/(Assumptions!$C$8*SQRT(Assumptions!$C$10)))-Assumptions!$C$8*SQRT(Assumptions!$C$10))*0.01</f>
        <v>0.0303306198500077</v>
      </c>
      <c r="K12" s="104" t="n">
        <f aca="false">-Assumptions!$C$7*Assumptions!$C$10*EXP(-Assumptions!$C$9*Assumptions!$C$10)*NORMSDIST(-(((LN(1800/Assumptions!$C$7)+(Assumptions!$C$9-Assumptions!$C$11+Assumptions!$C$8^2/2)*Assumptions!$C$10)/(Assumptions!$C$8*SQRT(Assumptions!$C$10)))-Assumptions!$C$8*SQRT(Assumptions!$C$10)))*0.01</f>
        <v>-6.11892762375429</v>
      </c>
      <c r="L12" s="107" t="n">
        <f aca="false">1800*EXP(-Assumptions!$C$11*Assumptions!$C$10)*NORMSDIST((LN(1800/Assumptions!$C$7)+(Assumptions!$C$9-Assumptions!$C$11+Assumptions!$C$8^2/2)*Assumptions!$C$10)/(Assumptions!$C$8*SQRT(Assumptions!$C$10)))-Assumptions!$C$7*EXP(-Assumptions!$C$9*Assumptions!$C$10)*NORMSDIST(((LN(1800/Assumptions!$C$7)+(Assumptions!$C$9-Assumptions!$C$11+Assumptions!$C$8^2/2)*Assumptions!$C$10)/(Assumptions!$C$8*SQRT(Assumptions!$C$10)))-Assumptions!$C$8*SQRT(Assumptions!$C$10))</f>
        <v>0.496981086567585</v>
      </c>
      <c r="M12" s="108" t="n">
        <f aca="false">Assumptions!$C$7*EXP(-Assumptions!$C$9*Assumptions!$C$10)*NORMSDIST(-(((LN(1800/Assumptions!$C$7)+(Assumptions!$C$9-Assumptions!$C$11+Assumptions!$C$8^2/2)*Assumptions!$C$10)/(Assumptions!$C$8*SQRT(Assumptions!$C$10)))-Assumptions!$C$8*SQRT(Assumptions!$C$10)))-1800*EXP(-Assumptions!$C$11*Assumptions!$C$10)*NORMSDIST(-((LN(1800/Assumptions!$C$7)+(Assumptions!$C$9-Assumptions!$C$11+Assumptions!$C$8^2/2)*Assumptions!$C$10)/(Assumptions!$C$8*SQRT(Assumptions!$C$10))))</f>
        <v>664.694658212858</v>
      </c>
    </row>
    <row r="13" customFormat="false" ht="15" hidden="false" customHeight="true" outlineLevel="0" collapsed="false">
      <c r="B13" s="96" t="n">
        <v>1850</v>
      </c>
      <c r="C13" s="109" t="str">
        <f aca="false">IF(1850&gt;=Assumptions!$C$7*1.05,"ITM",IF(1850&lt;=Assumptions!$C$7*0.95,"OTM","ATM"))</f>
        <v>OTM</v>
      </c>
      <c r="D13" s="110" t="n">
        <f aca="false">NORMSDIST((LN(1850/Assumptions!$C$7)+(Assumptions!$C$9-Assumptions!$C$11+Assumptions!$C$8^2/2)*Assumptions!$C$10)/(Assumptions!$C$8*SQRT(Assumptions!$C$10)))</f>
        <v>0.0126647297861523</v>
      </c>
      <c r="E13" s="111" t="n">
        <f aca="false">NORMSDIST((LN(1850/Assumptions!$C$7)+(Assumptions!$C$9-Assumptions!$C$11+Assumptions!$C$8^2/2)*Assumptions!$C$10)/(Assumptions!$C$8*SQRT(Assumptions!$C$10)))-1</f>
        <v>-0.987335270213848</v>
      </c>
      <c r="F13" s="112" t="n">
        <f aca="false">NORMDIST((LN(1850/Assumptions!$C$7)+(Assumptions!$C$9-Assumptions!$C$11+Assumptions!$C$8^2/2)*Assumptions!$C$10)/(Assumptions!$C$8*SQRT(Assumptions!$C$10)),0,1,FALSE())/(1850*Assumptions!$C$8*SQRT(Assumptions!$C$10))</f>
        <v>0.000141523062631244</v>
      </c>
      <c r="G13" s="113" t="n">
        <f aca="false">1850*NORMDIST((LN(1850/Assumptions!$C$7)+(Assumptions!$C$9-Assumptions!$C$11+Assumptions!$C$8^2/2)*Assumptions!$C$10)/(Assumptions!$C$8*SQRT(Assumptions!$C$10)),0,1,FALSE())*SQRT(Assumptions!$C$10)/100</f>
        <v>0.302726676159645</v>
      </c>
      <c r="H13" s="110" t="n">
        <f aca="false">(-((1850*NORMDIST((LN(1850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(1850/Assumptions!$C$7)+(Assumptions!$C$9-Assumptions!$C$11+Assumptions!$C$8^2/2)*Assumptions!$C$10)/(Assumptions!$C$8*SQRT(Assumptions!$C$10)))-Assumptions!$C$8*SQRT(Assumptions!$C$10)))/365</f>
        <v>-0.0448523467372248</v>
      </c>
      <c r="I13" s="111" t="n">
        <f aca="false">(-((1850*NORMDIST((LN(1850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(1850/Assumptions!$C$7)+(Assumptions!$C$9-Assumptions!$C$11+Assumptions!$C$8^2/2)*Assumptions!$C$10)/(Assumptions!$C$8*SQRT(Assumptions!$C$10)))-Assumptions!$C$8*SQRT(Assumptions!$C$10))))/365</f>
        <v>0.326715635938716</v>
      </c>
      <c r="J13" s="110" t="n">
        <f aca="false">Assumptions!$C$7*Assumptions!$C$10*EXP(-Assumptions!$C$9*Assumptions!$C$10)*NORMSDIST(((LN(1850/Assumptions!$C$7)+(Assumptions!$C$9-Assumptions!$C$11+Assumptions!$C$8^2/2)*Assumptions!$C$10)/(Assumptions!$C$8*SQRT(Assumptions!$C$10)))-Assumptions!$C$8*SQRT(Assumptions!$C$10))*0.01</f>
        <v>0.0559858943035627</v>
      </c>
      <c r="K13" s="111" t="n">
        <f aca="false">-Assumptions!$C$7*Assumptions!$C$10*EXP(-Assumptions!$C$9*Assumptions!$C$10)*NORMSDIST(-(((LN(1850/Assumptions!$C$7)+(Assumptions!$C$9-Assumptions!$C$11+Assumptions!$C$8^2/2)*Assumptions!$C$10)/(Assumptions!$C$8*SQRT(Assumptions!$C$10)))-Assumptions!$C$8*SQRT(Assumptions!$C$10)))*0.01</f>
        <v>-6.09327234930073</v>
      </c>
      <c r="L13" s="114" t="n">
        <f aca="false">1850*EXP(-Assumptions!$C$11*Assumptions!$C$10)*NORMSDIST((LN(1850/Assumptions!$C$7)+(Assumptions!$C$9-Assumptions!$C$11+Assumptions!$C$8^2/2)*Assumptions!$C$10)/(Assumptions!$C$8*SQRT(Assumptions!$C$10)))-Assumptions!$C$7*EXP(-Assumptions!$C$9*Assumptions!$C$10)*NORMSDIST(((LN(1850/Assumptions!$C$7)+(Assumptions!$C$9-Assumptions!$C$11+Assumptions!$C$8^2/2)*Assumptions!$C$10)/(Assumptions!$C$8*SQRT(Assumptions!$C$10)))-Assumptions!$C$8*SQRT(Assumptions!$C$10))</f>
        <v>0.976891164687878</v>
      </c>
      <c r="M13" s="115" t="n">
        <f aca="false">Assumptions!$C$7*EXP(-Assumptions!$C$9*Assumptions!$C$10)*NORMSDIST(-(((LN(1850/Assumptions!$C$7)+(Assumptions!$C$9-Assumptions!$C$11+Assumptions!$C$8^2/2)*Assumptions!$C$10)/(Assumptions!$C$8*SQRT(Assumptions!$C$10)))-Assumptions!$C$8*SQRT(Assumptions!$C$10)))-1850*EXP(-Assumptions!$C$11*Assumptions!$C$10)*NORMSDIST(-((LN(1850/Assumptions!$C$7)+(Assumptions!$C$9-Assumptions!$C$11+Assumptions!$C$8^2/2)*Assumptions!$C$10)/(Assumptions!$C$8*SQRT(Assumptions!$C$10))))</f>
        <v>615.299412171105</v>
      </c>
    </row>
    <row r="14" customFormat="false" ht="15" hidden="false" customHeight="true" outlineLevel="0" collapsed="false">
      <c r="B14" s="93" t="n">
        <v>1900</v>
      </c>
      <c r="C14" s="102" t="str">
        <f aca="false">IF(1900&gt;=Assumptions!$C$7*1.05,"ITM",IF(1900&lt;=Assumptions!$C$7*0.95,"OTM","ATM"))</f>
        <v>OTM</v>
      </c>
      <c r="D14" s="103" t="n">
        <f aca="false">NORMSDIST((LN(1900/Assumptions!$C$7)+(Assumptions!$C$9-Assumptions!$C$11+Assumptions!$C$8^2/2)*Assumptions!$C$10)/(Assumptions!$C$8*SQRT(Assumptions!$C$10)))</f>
        <v>0.0215368435930026</v>
      </c>
      <c r="E14" s="104" t="n">
        <f aca="false">NORMSDIST((LN(1900/Assumptions!$C$7)+(Assumptions!$C$9-Assumptions!$C$11+Assumptions!$C$8^2/2)*Assumptions!$C$10)/(Assumptions!$C$8*SQRT(Assumptions!$C$10)))-1</f>
        <v>-0.978463156406997</v>
      </c>
      <c r="F14" s="105" t="n">
        <f aca="false">NORMDIST((LN(1900/Assumptions!$C$7)+(Assumptions!$C$9-Assumptions!$C$11+Assumptions!$C$8^2/2)*Assumptions!$C$10)/(Assumptions!$C$8*SQRT(Assumptions!$C$10)),0,1,FALSE())/(1900*Assumptions!$C$8*SQRT(Assumptions!$C$10))</f>
        <v>0.000217054937658961</v>
      </c>
      <c r="G14" s="106" t="n">
        <f aca="false">1900*NORMDIST((LN(1900/Assumptions!$C$7)+(Assumptions!$C$9-Assumptions!$C$11+Assumptions!$C$8^2/2)*Assumptions!$C$10)/(Assumptions!$C$8*SQRT(Assumptions!$C$10)),0,1,FALSE())*SQRT(Assumptions!$C$10)/100</f>
        <v>0.489730203093031</v>
      </c>
      <c r="H14" s="103" t="n">
        <f aca="false">(-((1900*NORMDIST((LN(1900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(1900/Assumptions!$C$7)+(Assumptions!$C$9-Assumptions!$C$11+Assumptions!$C$8^2/2)*Assumptions!$C$10)/(Assumptions!$C$8*SQRT(Assumptions!$C$10)))-Assumptions!$C$8*SQRT(Assumptions!$C$10)))/365</f>
        <v>-0.0729783145145397</v>
      </c>
      <c r="I14" s="104" t="n">
        <f aca="false">(-((1900*NORMDIST((LN(1900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(1900/Assumptions!$C$7)+(Assumptions!$C$9-Assumptions!$C$11+Assumptions!$C$8^2/2)*Assumptions!$C$10)/(Assumptions!$C$8*SQRT(Assumptions!$C$10)))-Assumptions!$C$8*SQRT(Assumptions!$C$10))))/365</f>
        <v>0.298589668161402</v>
      </c>
      <c r="J14" s="103" t="n">
        <f aca="false">Assumptions!$C$7*Assumptions!$C$10*EXP(-Assumptions!$C$9*Assumptions!$C$10)*NORMSDIST(((LN(1900/Assumptions!$C$7)+(Assumptions!$C$9-Assumptions!$C$11+Assumptions!$C$8^2/2)*Assumptions!$C$10)/(Assumptions!$C$8*SQRT(Assumptions!$C$10)))-Assumptions!$C$8*SQRT(Assumptions!$C$10))*0.01</f>
        <v>0.0975093146134705</v>
      </c>
      <c r="K14" s="104" t="n">
        <f aca="false">-Assumptions!$C$7*Assumptions!$C$10*EXP(-Assumptions!$C$9*Assumptions!$C$10)*NORMSDIST(-(((LN(1900/Assumptions!$C$7)+(Assumptions!$C$9-Assumptions!$C$11+Assumptions!$C$8^2/2)*Assumptions!$C$10)/(Assumptions!$C$8*SQRT(Assumptions!$C$10)))-Assumptions!$C$8*SQRT(Assumptions!$C$10)))*0.01</f>
        <v>-6.05174892899083</v>
      </c>
      <c r="L14" s="107" t="n">
        <f aca="false">1900*EXP(-Assumptions!$C$11*Assumptions!$C$10)*NORMSDIST((LN(1900/Assumptions!$C$7)+(Assumptions!$C$9-Assumptions!$C$11+Assumptions!$C$8^2/2)*Assumptions!$C$10)/(Assumptions!$C$8*SQRT(Assumptions!$C$10)))-Assumptions!$C$7*EXP(-Assumptions!$C$9*Assumptions!$C$10)*NORMSDIST(((LN(1900/Assumptions!$C$7)+(Assumptions!$C$9-Assumptions!$C$11+Assumptions!$C$8^2/2)*Assumptions!$C$10)/(Assumptions!$C$8*SQRT(Assumptions!$C$10)))-Assumptions!$C$8*SQRT(Assumptions!$C$10))</f>
        <v>1.81410474276284</v>
      </c>
      <c r="M14" s="108" t="n">
        <f aca="false">Assumptions!$C$7*EXP(-Assumptions!$C$9*Assumptions!$C$10)*NORMSDIST(-(((LN(1900/Assumptions!$C$7)+(Assumptions!$C$9-Assumptions!$C$11+Assumptions!$C$8^2/2)*Assumptions!$C$10)/(Assumptions!$C$8*SQRT(Assumptions!$C$10)))-Assumptions!$C$8*SQRT(Assumptions!$C$10)))-1900*EXP(-Assumptions!$C$11*Assumptions!$C$10)*NORMSDIST(-((LN(1900/Assumptions!$C$7)+(Assumptions!$C$9-Assumptions!$C$11+Assumptions!$C$8^2/2)*Assumptions!$C$10)/(Assumptions!$C$8*SQRT(Assumptions!$C$10))))</f>
        <v>566.261469629307</v>
      </c>
    </row>
    <row r="15" customFormat="false" ht="15" hidden="false" customHeight="true" outlineLevel="0" collapsed="false">
      <c r="B15" s="96" t="n">
        <v>1950</v>
      </c>
      <c r="C15" s="109" t="str">
        <f aca="false">IF(1950&gt;=Assumptions!$C$7*1.05,"ITM",IF(1950&lt;=Assumptions!$C$7*0.95,"OTM","ATM"))</f>
        <v>OTM</v>
      </c>
      <c r="D15" s="110" t="n">
        <f aca="false">NORMSDIST((LN(1950/Assumptions!$C$7)+(Assumptions!$C$9-Assumptions!$C$11+Assumptions!$C$8^2/2)*Assumptions!$C$10)/(Assumptions!$C$8*SQRT(Assumptions!$C$10)))</f>
        <v>0.0347472908048435</v>
      </c>
      <c r="E15" s="111" t="n">
        <f aca="false">NORMSDIST((LN(1950/Assumptions!$C$7)+(Assumptions!$C$9-Assumptions!$C$11+Assumptions!$C$8^2/2)*Assumptions!$C$10)/(Assumptions!$C$8*SQRT(Assumptions!$C$10)))-1</f>
        <v>-0.965252709195157</v>
      </c>
      <c r="F15" s="112" t="n">
        <f aca="false">NORMDIST((LN(1950/Assumptions!$C$7)+(Assumptions!$C$9-Assumptions!$C$11+Assumptions!$C$8^2/2)*Assumptions!$C$10)/(Assumptions!$C$8*SQRT(Assumptions!$C$10)),0,1,FALSE())/(1950*Assumptions!$C$8*SQRT(Assumptions!$C$10))</f>
        <v>0.000315125180926811</v>
      </c>
      <c r="G15" s="113" t="n">
        <f aca="false">1950*NORMDIST((LN(1950/Assumptions!$C$7)+(Assumptions!$C$9-Assumptions!$C$11+Assumptions!$C$8^2/2)*Assumptions!$C$10)/(Assumptions!$C$8*SQRT(Assumptions!$C$10)),0,1,FALSE())*SQRT(Assumptions!$C$10)/100</f>
        <v>0.748914687796375</v>
      </c>
      <c r="H15" s="110" t="n">
        <f aca="false">(-((1950*NORMDIST((LN(1950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(1950/Assumptions!$C$7)+(Assumptions!$C$9-Assumptions!$C$11+Assumptions!$C$8^2/2)*Assumptions!$C$10)/(Assumptions!$C$8*SQRT(Assumptions!$C$10)))-Assumptions!$C$8*SQRT(Assumptions!$C$10)))/365</f>
        <v>-0.112318052135149</v>
      </c>
      <c r="I15" s="111" t="n">
        <f aca="false">(-((1950*NORMDIST((LN(1950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(1950/Assumptions!$C$7)+(Assumptions!$C$9-Assumptions!$C$11+Assumptions!$C$8^2/2)*Assumptions!$C$10)/(Assumptions!$C$8*SQRT(Assumptions!$C$10)))-Assumptions!$C$8*SQRT(Assumptions!$C$10))))/365</f>
        <v>0.259249930540792</v>
      </c>
      <c r="J15" s="110" t="n">
        <f aca="false">Assumptions!$C$7*Assumptions!$C$10*EXP(-Assumptions!$C$9*Assumptions!$C$10)*NORMSDIST(((LN(1950/Assumptions!$C$7)+(Assumptions!$C$9-Assumptions!$C$11+Assumptions!$C$8^2/2)*Assumptions!$C$10)/(Assumptions!$C$8*SQRT(Assumptions!$C$10)))-Assumptions!$C$8*SQRT(Assumptions!$C$10))*0.01</f>
        <v>0.160976810842278</v>
      </c>
      <c r="K15" s="111" t="n">
        <f aca="false">-Assumptions!$C$7*Assumptions!$C$10*EXP(-Assumptions!$C$9*Assumptions!$C$10)*NORMSDIST(-(((LN(1950/Assumptions!$C$7)+(Assumptions!$C$9-Assumptions!$C$11+Assumptions!$C$8^2/2)*Assumptions!$C$10)/(Assumptions!$C$8*SQRT(Assumptions!$C$10)))-Assumptions!$C$8*SQRT(Assumptions!$C$10)))*0.01</f>
        <v>-5.98828143276202</v>
      </c>
      <c r="L15" s="114" t="n">
        <f aca="false">1950*EXP(-Assumptions!$C$11*Assumptions!$C$10)*NORMSDIST((LN(1950/Assumptions!$C$7)+(Assumptions!$C$9-Assumptions!$C$11+Assumptions!$C$8^2/2)*Assumptions!$C$10)/(Assumptions!$C$8*SQRT(Assumptions!$C$10)))-Assumptions!$C$7*EXP(-Assumptions!$C$9*Assumptions!$C$10)*NORMSDIST(((LN(1950/Assumptions!$C$7)+(Assumptions!$C$9-Assumptions!$C$11+Assumptions!$C$8^2/2)*Assumptions!$C$10)/(Assumptions!$C$8*SQRT(Assumptions!$C$10)))-Assumptions!$C$8*SQRT(Assumptions!$C$10))</f>
        <v>3.19731125482259</v>
      </c>
      <c r="M15" s="115" t="n">
        <f aca="false">Assumptions!$C$7*EXP(-Assumptions!$C$9*Assumptions!$C$10)*NORMSDIST(-(((LN(1950/Assumptions!$C$7)+(Assumptions!$C$9-Assumptions!$C$11+Assumptions!$C$8^2/2)*Assumptions!$C$10)/(Assumptions!$C$8*SQRT(Assumptions!$C$10)))-Assumptions!$C$8*SQRT(Assumptions!$C$10)))-1950*EXP(-Assumptions!$C$11*Assumptions!$C$10)*NORMSDIST(-((LN(1950/Assumptions!$C$7)+(Assumptions!$C$9-Assumptions!$C$11+Assumptions!$C$8^2/2)*Assumptions!$C$10)/(Assumptions!$C$8*SQRT(Assumptions!$C$10))))</f>
        <v>517.769520021494</v>
      </c>
    </row>
    <row r="16" customFormat="false" ht="15" hidden="false" customHeight="true" outlineLevel="0" collapsed="false">
      <c r="B16" s="93" t="n">
        <v>2000</v>
      </c>
      <c r="C16" s="102" t="str">
        <f aca="false">IF(2000&gt;=Assumptions!$C$7*1.05,"ITM",IF(2000&lt;=Assumptions!$C$7*0.95,"OTM","ATM"))</f>
        <v>OTM</v>
      </c>
      <c r="D16" s="103" t="n">
        <f aca="false">NORMSDIST((LN(2000/Assumptions!$C$7)+(Assumptions!$C$9-Assumptions!$C$11+Assumptions!$C$8^2/2)*Assumptions!$C$10)/(Assumptions!$C$8*SQRT(Assumptions!$C$10)))</f>
        <v>0.0534104573044666</v>
      </c>
      <c r="E16" s="104" t="n">
        <f aca="false">NORMSDIST((LN(2000/Assumptions!$C$7)+(Assumptions!$C$9-Assumptions!$C$11+Assumptions!$C$8^2/2)*Assumptions!$C$10)/(Assumptions!$C$8*SQRT(Assumptions!$C$10)))-1</f>
        <v>-0.946589542695533</v>
      </c>
      <c r="F16" s="105" t="n">
        <f aca="false">NORMDIST((LN(2000/Assumptions!$C$7)+(Assumptions!$C$9-Assumptions!$C$11+Assumptions!$C$8^2/2)*Assumptions!$C$10)/(Assumptions!$C$8*SQRT(Assumptions!$C$10)),0,1,FALSE())/(2000*Assumptions!$C$8*SQRT(Assumptions!$C$10))</f>
        <v>0.000434759784461794</v>
      </c>
      <c r="G16" s="106" t="n">
        <f aca="false">2000*NORMDIST((LN(2000/Assumptions!$C$7)+(Assumptions!$C$9-Assumptions!$C$11+Assumptions!$C$8^2/2)*Assumptions!$C$10)/(Assumptions!$C$8*SQRT(Assumptions!$C$10)),0,1,FALSE())*SQRT(Assumptions!$C$10)/100</f>
        <v>1.08689946115448</v>
      </c>
      <c r="H16" s="103" t="n">
        <f aca="false">(-((2000*NORMDIST((LN(2000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(2000/Assumptions!$C$7)+(Assumptions!$C$9-Assumptions!$C$11+Assumptions!$C$8^2/2)*Assumptions!$C$10)/(Assumptions!$C$8*SQRT(Assumptions!$C$10)))-Assumptions!$C$8*SQRT(Assumptions!$C$10)))/365</f>
        <v>-0.164175303362268</v>
      </c>
      <c r="I16" s="104" t="n">
        <f aca="false">(-((2000*NORMDIST((LN(2000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(2000/Assumptions!$C$7)+(Assumptions!$C$9-Assumptions!$C$11+Assumptions!$C$8^2/2)*Assumptions!$C$10)/(Assumptions!$C$8*SQRT(Assumptions!$C$10)))-Assumptions!$C$8*SQRT(Assumptions!$C$10))))/365</f>
        <v>0.207392679313673</v>
      </c>
      <c r="J16" s="103" t="n">
        <f aca="false">Assumptions!$C$7*Assumptions!$C$10*EXP(-Assumptions!$C$9*Assumptions!$C$10)*NORMSDIST(((LN(2000/Assumptions!$C$7)+(Assumptions!$C$9-Assumptions!$C$11+Assumptions!$C$8^2/2)*Assumptions!$C$10)/(Assumptions!$C$8*SQRT(Assumptions!$C$10)))-Assumptions!$C$8*SQRT(Assumptions!$C$10))*0.01</f>
        <v>0.252958298078399</v>
      </c>
      <c r="K16" s="104" t="n">
        <f aca="false">-Assumptions!$C$7*Assumptions!$C$10*EXP(-Assumptions!$C$9*Assumptions!$C$10)*NORMSDIST(-(((LN(2000/Assumptions!$C$7)+(Assumptions!$C$9-Assumptions!$C$11+Assumptions!$C$8^2/2)*Assumptions!$C$10)/(Assumptions!$C$8*SQRT(Assumptions!$C$10)))-Assumptions!$C$8*SQRT(Assumptions!$C$10)))*0.01</f>
        <v>-5.8962999455259</v>
      </c>
      <c r="L16" s="107" t="n">
        <f aca="false">2000*EXP(-Assumptions!$C$11*Assumptions!$C$10)*NORMSDIST((LN(2000/Assumptions!$C$7)+(Assumptions!$C$9-Assumptions!$C$11+Assumptions!$C$8^2/2)*Assumptions!$C$10)/(Assumptions!$C$8*SQRT(Assumptions!$C$10)))-Assumptions!$C$7*EXP(-Assumptions!$C$9*Assumptions!$C$10)*NORMSDIST(((LN(2000/Assumptions!$C$7)+(Assumptions!$C$9-Assumptions!$C$11+Assumptions!$C$8^2/2)*Assumptions!$C$10)/(Assumptions!$C$8*SQRT(Assumptions!$C$10)))-Assumptions!$C$8*SQRT(Assumptions!$C$10))</f>
        <v>5.37087662840374</v>
      </c>
      <c r="M16" s="108" t="n">
        <f aca="false">Assumptions!$C$7*EXP(-Assumptions!$C$9*Assumptions!$C$10)*NORMSDIST(-(((LN(2000/Assumptions!$C$7)+(Assumptions!$C$9-Assumptions!$C$11+Assumptions!$C$8^2/2)*Assumptions!$C$10)/(Assumptions!$C$8*SQRT(Assumptions!$C$10)))-Assumptions!$C$8*SQRT(Assumptions!$C$10)))-2000*EXP(-Assumptions!$C$11*Assumptions!$C$10)*NORMSDIST(-((LN(2000/Assumptions!$C$7)+(Assumptions!$C$9-Assumptions!$C$11+Assumptions!$C$8^2/2)*Assumptions!$C$10)/(Assumptions!$C$8*SQRT(Assumptions!$C$10))))</f>
        <v>470.067929275202</v>
      </c>
    </row>
    <row r="17" customFormat="false" ht="15" hidden="false" customHeight="true" outlineLevel="0" collapsed="false">
      <c r="B17" s="96" t="n">
        <v>2050</v>
      </c>
      <c r="C17" s="109" t="str">
        <f aca="false">IF(2050&gt;=Assumptions!$C$7*1.05,"ITM",IF(2050&lt;=Assumptions!$C$7*0.95,"OTM","ATM"))</f>
        <v>OTM</v>
      </c>
      <c r="D17" s="110" t="n">
        <f aca="false">NORMSDIST((LN(2050/Assumptions!$C$7)+(Assumptions!$C$9-Assumptions!$C$11+Assumptions!$C$8^2/2)*Assumptions!$C$10)/(Assumptions!$C$8*SQRT(Assumptions!$C$10)))</f>
        <v>0.0785184883363742</v>
      </c>
      <c r="E17" s="111" t="n">
        <f aca="false">NORMSDIST((LN(2050/Assumptions!$C$7)+(Assumptions!$C$9-Assumptions!$C$11+Assumptions!$C$8^2/2)*Assumptions!$C$10)/(Assumptions!$C$8*SQRT(Assumptions!$C$10)))-1</f>
        <v>-0.921481511663626</v>
      </c>
      <c r="F17" s="112" t="n">
        <f aca="false">NORMDIST((LN(2050/Assumptions!$C$7)+(Assumptions!$C$9-Assumptions!$C$11+Assumptions!$C$8^2/2)*Assumptions!$C$10)/(Assumptions!$C$8*SQRT(Assumptions!$C$10)),0,1,FALSE())/(2050*Assumptions!$C$8*SQRT(Assumptions!$C$10))</f>
        <v>0.000572008506157505</v>
      </c>
      <c r="G17" s="113" t="n">
        <f aca="false">2050*NORMDIST((LN(2050/Assumptions!$C$7)+(Assumptions!$C$9-Assumptions!$C$11+Assumptions!$C$8^2/2)*Assumptions!$C$10)/(Assumptions!$C$8*SQRT(Assumptions!$C$10)),0,1,FALSE())*SQRT(Assumptions!$C$10)/100</f>
        <v>1.50241609195432</v>
      </c>
      <c r="H17" s="110" t="n">
        <f aca="false">(-((2050*NORMDIST((LN(2050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(2050/Assumptions!$C$7)+(Assumptions!$C$9-Assumptions!$C$11+Assumptions!$C$8^2/2)*Assumptions!$C$10)/(Assumptions!$C$8*SQRT(Assumptions!$C$10)))-Assumptions!$C$8*SQRT(Assumptions!$C$10)))/365</f>
        <v>-0.228761090922719</v>
      </c>
      <c r="I17" s="111" t="n">
        <f aca="false">(-((2050*NORMDIST((LN(2050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(2050/Assumptions!$C$7)+(Assumptions!$C$9-Assumptions!$C$11+Assumptions!$C$8^2/2)*Assumptions!$C$10)/(Assumptions!$C$8*SQRT(Assumptions!$C$10)))-Assumptions!$C$8*SQRT(Assumptions!$C$10))))/365</f>
        <v>0.142806891753222</v>
      </c>
      <c r="J17" s="110" t="n">
        <f aca="false">Assumptions!$C$7*Assumptions!$C$10*EXP(-Assumptions!$C$9*Assumptions!$C$10)*NORMSDIST(((LN(2050/Assumptions!$C$7)+(Assumptions!$C$9-Assumptions!$C$11+Assumptions!$C$8^2/2)*Assumptions!$C$10)/(Assumptions!$C$8*SQRT(Assumptions!$C$10)))-Assumptions!$C$8*SQRT(Assumptions!$C$10))*0.01</f>
        <v>0.37982169370033</v>
      </c>
      <c r="K17" s="111" t="n">
        <f aca="false">-Assumptions!$C$7*Assumptions!$C$10*EXP(-Assumptions!$C$9*Assumptions!$C$10)*NORMSDIST(-(((LN(2050/Assumptions!$C$7)+(Assumptions!$C$9-Assumptions!$C$11+Assumptions!$C$8^2/2)*Assumptions!$C$10)/(Assumptions!$C$8*SQRT(Assumptions!$C$10)))-Assumptions!$C$8*SQRT(Assumptions!$C$10)))*0.01</f>
        <v>-5.76943654990397</v>
      </c>
      <c r="L17" s="114" t="n">
        <f aca="false">2050*EXP(-Assumptions!$C$11*Assumptions!$C$10)*NORMSDIST((LN(2050/Assumptions!$C$7)+(Assumptions!$C$9-Assumptions!$C$11+Assumptions!$C$8^2/2)*Assumptions!$C$10)/(Assumptions!$C$8*SQRT(Assumptions!$C$10)))-Assumptions!$C$7*EXP(-Assumptions!$C$9*Assumptions!$C$10)*NORMSDIST(((LN(2050/Assumptions!$C$7)+(Assumptions!$C$9-Assumptions!$C$11+Assumptions!$C$8^2/2)*Assumptions!$C$10)/(Assumptions!$C$8*SQRT(Assumptions!$C$10)))-Assumptions!$C$8*SQRT(Assumptions!$C$10))</f>
        <v>8.63231894686456</v>
      </c>
      <c r="M17" s="115" t="n">
        <f aca="false">Assumptions!$C$7*EXP(-Assumptions!$C$9*Assumptions!$C$10)*NORMSDIST(-(((LN(2050/Assumptions!$C$7)+(Assumptions!$C$9-Assumptions!$C$11+Assumptions!$C$8^2/2)*Assumptions!$C$10)/(Assumptions!$C$8*SQRT(Assumptions!$C$10)))-Assumptions!$C$8*SQRT(Assumptions!$C$10)))-2050*EXP(-Assumptions!$C$11*Assumptions!$C$10)*NORMSDIST(-((LN(2050/Assumptions!$C$7)+(Assumptions!$C$9-Assumptions!$C$11+Assumptions!$C$8^2/2)*Assumptions!$C$10)/(Assumptions!$C$8*SQRT(Assumptions!$C$10))))</f>
        <v>423.45421547379</v>
      </c>
    </row>
    <row r="18" customFormat="false" ht="15" hidden="false" customHeight="true" outlineLevel="0" collapsed="false">
      <c r="B18" s="93" t="n">
        <v>2100</v>
      </c>
      <c r="C18" s="102" t="str">
        <f aca="false">IF(2100&gt;=Assumptions!$C$7*1.05,"ITM",IF(2100&lt;=Assumptions!$C$7*0.95,"OTM","ATM"))</f>
        <v>OTM</v>
      </c>
      <c r="D18" s="103" t="n">
        <f aca="false">NORMSDIST((LN(2100/Assumptions!$C$7)+(Assumptions!$C$9-Assumptions!$C$11+Assumptions!$C$8^2/2)*Assumptions!$C$10)/(Assumptions!$C$8*SQRT(Assumptions!$C$10)))</f>
        <v>0.110791978041972</v>
      </c>
      <c r="E18" s="104" t="n">
        <f aca="false">NORMSDIST((LN(2100/Assumptions!$C$7)+(Assumptions!$C$9-Assumptions!$C$11+Assumptions!$C$8^2/2)*Assumptions!$C$10)/(Assumptions!$C$8*SQRT(Assumptions!$C$10)))-1</f>
        <v>-0.889208021958028</v>
      </c>
      <c r="F18" s="105" t="n">
        <f aca="false">NORMDIST((LN(2100/Assumptions!$C$7)+(Assumptions!$C$9-Assumptions!$C$11+Assumptions!$C$8^2/2)*Assumptions!$C$10)/(Assumptions!$C$8*SQRT(Assumptions!$C$10)),0,1,FALSE())/(2100*Assumptions!$C$8*SQRT(Assumptions!$C$10))</f>
        <v>0.000720020134717351</v>
      </c>
      <c r="G18" s="106" t="n">
        <f aca="false">2100*NORMDIST((LN(2100/Assumptions!$C$7)+(Assumptions!$C$9-Assumptions!$C$11+Assumptions!$C$8^2/2)*Assumptions!$C$10)/(Assumptions!$C$8*SQRT(Assumptions!$C$10)),0,1,FALSE())*SQRT(Assumptions!$C$10)/100</f>
        <v>1.9845554963147</v>
      </c>
      <c r="H18" s="103" t="n">
        <f aca="false">(-((2100*NORMDIST((LN(2100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(2100/Assumptions!$C$7)+(Assumptions!$C$9-Assumptions!$C$11+Assumptions!$C$8^2/2)*Assumptions!$C$10)/(Assumptions!$C$8*SQRT(Assumptions!$C$10)))-Assumptions!$C$8*SQRT(Assumptions!$C$10)))/365</f>
        <v>-0.304903227801646</v>
      </c>
      <c r="I18" s="104" t="n">
        <f aca="false">(-((2100*NORMDIST((LN(2100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(2100/Assumptions!$C$7)+(Assumptions!$C$9-Assumptions!$C$11+Assumptions!$C$8^2/2)*Assumptions!$C$10)/(Assumptions!$C$8*SQRT(Assumptions!$C$10)))-Assumptions!$C$8*SQRT(Assumptions!$C$10))))/365</f>
        <v>0.0666647548742957</v>
      </c>
      <c r="J18" s="103" t="n">
        <f aca="false">Assumptions!$C$7*Assumptions!$C$10*EXP(-Assumptions!$C$9*Assumptions!$C$10)*NORMSDIST(((LN(2100/Assumptions!$C$7)+(Assumptions!$C$9-Assumptions!$C$11+Assumptions!$C$8^2/2)*Assumptions!$C$10)/(Assumptions!$C$8*SQRT(Assumptions!$C$10)))-Assumptions!$C$8*SQRT(Assumptions!$C$10))*0.01</f>
        <v>0.54689937434511</v>
      </c>
      <c r="K18" s="104" t="n">
        <f aca="false">-Assumptions!$C$7*Assumptions!$C$10*EXP(-Assumptions!$C$9*Assumptions!$C$10)*NORMSDIST(-(((LN(2100/Assumptions!$C$7)+(Assumptions!$C$9-Assumptions!$C$11+Assumptions!$C$8^2/2)*Assumptions!$C$10)/(Assumptions!$C$8*SQRT(Assumptions!$C$10)))-Assumptions!$C$8*SQRT(Assumptions!$C$10)))*0.01</f>
        <v>-5.60235886925919</v>
      </c>
      <c r="L18" s="107" t="n">
        <f aca="false">2100*EXP(-Assumptions!$C$11*Assumptions!$C$10)*NORMSDIST((LN(2100/Assumptions!$C$7)+(Assumptions!$C$9-Assumptions!$C$11+Assumptions!$C$8^2/2)*Assumptions!$C$10)/(Assumptions!$C$8*SQRT(Assumptions!$C$10)))-Assumptions!$C$7*EXP(-Assumptions!$C$9*Assumptions!$C$10)*NORMSDIST(((LN(2100/Assumptions!$C$7)+(Assumptions!$C$9-Assumptions!$C$11+Assumptions!$C$8^2/2)*Assumptions!$C$10)/(Assumptions!$C$8*SQRT(Assumptions!$C$10)))-Assumptions!$C$8*SQRT(Assumptions!$C$10))</f>
        <v>13.3224727322183</v>
      </c>
      <c r="M18" s="108" t="n">
        <f aca="false">Assumptions!$C$7*EXP(-Assumptions!$C$9*Assumptions!$C$10)*NORMSDIST(-(((LN(2100/Assumptions!$C$7)+(Assumptions!$C$9-Assumptions!$C$11+Assumptions!$C$8^2/2)*Assumptions!$C$10)/(Assumptions!$C$8*SQRT(Assumptions!$C$10)))-Assumptions!$C$8*SQRT(Assumptions!$C$10)))-2100*EXP(-Assumptions!$C$11*Assumptions!$C$10)*NORMSDIST(-((LN(2100/Assumptions!$C$7)+(Assumptions!$C$9-Assumptions!$C$11+Assumptions!$C$8^2/2)*Assumptions!$C$10)/(Assumptions!$C$8*SQRT(Assumptions!$C$10))))</f>
        <v>378.269213139271</v>
      </c>
    </row>
    <row r="19" customFormat="false" ht="15" hidden="false" customHeight="true" outlineLevel="0" collapsed="false">
      <c r="B19" s="96" t="n">
        <v>2150</v>
      </c>
      <c r="C19" s="109" t="str">
        <f aca="false">IF(2150&gt;=Assumptions!$C$7*1.05,"ITM",IF(2150&lt;=Assumptions!$C$7*0.95,"OTM","ATM"))</f>
        <v>OTM</v>
      </c>
      <c r="D19" s="110" t="n">
        <f aca="false">NORMSDIST((LN(2150/Assumptions!$C$7)+(Assumptions!$C$9-Assumptions!$C$11+Assumptions!$C$8^2/2)*Assumptions!$C$10)/(Assumptions!$C$8*SQRT(Assumptions!$C$10)))</f>
        <v>0.150548653908693</v>
      </c>
      <c r="E19" s="111" t="n">
        <f aca="false">NORMSDIST((LN(2150/Assumptions!$C$7)+(Assumptions!$C$9-Assumptions!$C$11+Assumptions!$C$8^2/2)*Assumptions!$C$10)/(Assumptions!$C$8*SQRT(Assumptions!$C$10)))-1</f>
        <v>-0.849451346091307</v>
      </c>
      <c r="F19" s="112" t="n">
        <f aca="false">NORMDIST((LN(2150/Assumptions!$C$7)+(Assumptions!$C$9-Assumptions!$C$11+Assumptions!$C$8^2/2)*Assumptions!$C$10)/(Assumptions!$C$8*SQRT(Assumptions!$C$10)),0,1,FALSE())/(2150*Assumptions!$C$8*SQRT(Assumptions!$C$10))</f>
        <v>0.000869681017598568</v>
      </c>
      <c r="G19" s="113" t="n">
        <f aca="false">2150*NORMDIST((LN(2150/Assumptions!$C$7)+(Assumptions!$C$9-Assumptions!$C$11+Assumptions!$C$8^2/2)*Assumptions!$C$10)/(Assumptions!$C$8*SQRT(Assumptions!$C$10)),0,1,FALSE())*SQRT(Assumptions!$C$10)/100</f>
        <v>2.51256281490586</v>
      </c>
      <c r="H19" s="110" t="n">
        <f aca="false">(-((2150*NORMDIST((LN(2150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(2150/Assumptions!$C$7)+(Assumptions!$C$9-Assumptions!$C$11+Assumptions!$C$8^2/2)*Assumptions!$C$10)/(Assumptions!$C$8*SQRT(Assumptions!$C$10)))-Assumptions!$C$8*SQRT(Assumptions!$C$10)))/365</f>
        <v>-0.389968006643261</v>
      </c>
      <c r="I19" s="111" t="n">
        <f aca="false">(-((2150*NORMDIST((LN(2150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(2150/Assumptions!$C$7)+(Assumptions!$C$9-Assumptions!$C$11+Assumptions!$C$8^2/2)*Assumptions!$C$10)/(Assumptions!$C$8*SQRT(Assumptions!$C$10)))-Assumptions!$C$8*SQRT(Assumptions!$C$10))))/365</f>
        <v>-0.0184000239673194</v>
      </c>
      <c r="J19" s="110" t="n">
        <f aca="false">Assumptions!$C$7*Assumptions!$C$10*EXP(-Assumptions!$C$9*Assumptions!$C$10)*NORMSDIST(((LN(2150/Assumptions!$C$7)+(Assumptions!$C$9-Assumptions!$C$11+Assumptions!$C$8^2/2)*Assumptions!$C$10)/(Assumptions!$C$8*SQRT(Assumptions!$C$10)))-Assumptions!$C$8*SQRT(Assumptions!$C$10))*0.01</f>
        <v>0.757657200051234</v>
      </c>
      <c r="K19" s="111" t="n">
        <f aca="false">-Assumptions!$C$7*Assumptions!$C$10*EXP(-Assumptions!$C$9*Assumptions!$C$10)*NORMSDIST(-(((LN(2150/Assumptions!$C$7)+(Assumptions!$C$9-Assumptions!$C$11+Assumptions!$C$8^2/2)*Assumptions!$C$10)/(Assumptions!$C$8*SQRT(Assumptions!$C$10)))-Assumptions!$C$8*SQRT(Assumptions!$C$10)))*0.01</f>
        <v>-5.39160104355306</v>
      </c>
      <c r="L19" s="114" t="n">
        <f aca="false">2150*EXP(-Assumptions!$C$11*Assumptions!$C$10)*NORMSDIST((LN(2150/Assumptions!$C$7)+(Assumptions!$C$9-Assumptions!$C$11+Assumptions!$C$8^2/2)*Assumptions!$C$10)/(Assumptions!$C$8*SQRT(Assumptions!$C$10)))-Assumptions!$C$7*EXP(-Assumptions!$C$9*Assumptions!$C$10)*NORMSDIST(((LN(2150/Assumptions!$C$7)+(Assumptions!$C$9-Assumptions!$C$11+Assumptions!$C$8^2/2)*Assumptions!$C$10)/(Assumptions!$C$8*SQRT(Assumptions!$C$10)))-Assumptions!$C$8*SQRT(Assumptions!$C$10))</f>
        <v>19.8085375248159</v>
      </c>
      <c r="M19" s="115" t="n">
        <f aca="false">Assumptions!$C$7*EXP(-Assumptions!$C$9*Assumptions!$C$10)*NORMSDIST(-(((LN(2150/Assumptions!$C$7)+(Assumptions!$C$9-Assumptions!$C$11+Assumptions!$C$8^2/2)*Assumptions!$C$10)/(Assumptions!$C$8*SQRT(Assumptions!$C$10)))-Assumptions!$C$8*SQRT(Assumptions!$C$10)))-2150*EXP(-Assumptions!$C$11*Assumptions!$C$10)*NORMSDIST(-((LN(2150/Assumptions!$C$7)+(Assumptions!$C$9-Assumptions!$C$11+Assumptions!$C$8^2/2)*Assumptions!$C$10)/(Assumptions!$C$8*SQRT(Assumptions!$C$10))))</f>
        <v>334.880121811995</v>
      </c>
    </row>
    <row r="20" customFormat="false" ht="15" hidden="false" customHeight="true" outlineLevel="0" collapsed="false">
      <c r="B20" s="93" t="n">
        <v>2200</v>
      </c>
      <c r="C20" s="102" t="str">
        <f aca="false">IF(2200&gt;=Assumptions!$C$7*1.05,"ITM",IF(2200&lt;=Assumptions!$C$7*0.95,"OTM","ATM"))</f>
        <v>OTM</v>
      </c>
      <c r="D20" s="103" t="n">
        <f aca="false">NORMSDIST((LN(2200/Assumptions!$C$7)+(Assumptions!$C$9-Assumptions!$C$11+Assumptions!$C$8^2/2)*Assumptions!$C$10)/(Assumptions!$C$8*SQRT(Assumptions!$C$10)))</f>
        <v>0.197616130702167</v>
      </c>
      <c r="E20" s="104" t="n">
        <f aca="false">NORMSDIST((LN(2200/Assumptions!$C$7)+(Assumptions!$C$9-Assumptions!$C$11+Assumptions!$C$8^2/2)*Assumptions!$C$10)/(Assumptions!$C$8*SQRT(Assumptions!$C$10)))-1</f>
        <v>-0.802383869297833</v>
      </c>
      <c r="F20" s="105" t="n">
        <f aca="false">NORMDIST((LN(2200/Assumptions!$C$7)+(Assumptions!$C$9-Assumptions!$C$11+Assumptions!$C$8^2/2)*Assumptions!$C$10)/(Assumptions!$C$8*SQRT(Assumptions!$C$10)),0,1,FALSE())/(2200*Assumptions!$C$8*SQRT(Assumptions!$C$10))</f>
        <v>0.0010107106607231</v>
      </c>
      <c r="G20" s="106" t="n">
        <f aca="false">2200*NORMDIST((LN(2200/Assumptions!$C$7)+(Assumptions!$C$9-Assumptions!$C$11+Assumptions!$C$8^2/2)*Assumptions!$C$10)/(Assumptions!$C$8*SQRT(Assumptions!$C$10)),0,1,FALSE())*SQRT(Assumptions!$C$10)/100</f>
        <v>3.05739974868738</v>
      </c>
      <c r="H20" s="103" t="n">
        <f aca="false">(-((2200*NORMDIST((LN(2200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(2200/Assumptions!$C$7)+(Assumptions!$C$9-Assumptions!$C$11+Assumptions!$C$8^2/2)*Assumptions!$C$10)/(Assumptions!$C$8*SQRT(Assumptions!$C$10)))-Assumptions!$C$8*SQRT(Assumptions!$C$10)))/365</f>
        <v>-0.480033517667828</v>
      </c>
      <c r="I20" s="104" t="n">
        <f aca="false">(-((2200*NORMDIST((LN(2200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(2200/Assumptions!$C$7)+(Assumptions!$C$9-Assumptions!$C$11+Assumptions!$C$8^2/2)*Assumptions!$C$10)/(Assumptions!$C$8*SQRT(Assumptions!$C$10)))-Assumptions!$C$8*SQRT(Assumptions!$C$10))))/365</f>
        <v>-0.108465534991887</v>
      </c>
      <c r="J20" s="103" t="n">
        <f aca="false">Assumptions!$C$7*Assumptions!$C$10*EXP(-Assumptions!$C$9*Assumptions!$C$10)*NORMSDIST(((LN(2200/Assumptions!$C$7)+(Assumptions!$C$9-Assumptions!$C$11+Assumptions!$C$8^2/2)*Assumptions!$C$10)/(Assumptions!$C$8*SQRT(Assumptions!$C$10)))-Assumptions!$C$8*SQRT(Assumptions!$C$10))*0.01</f>
        <v>1.01302093906711</v>
      </c>
      <c r="K20" s="104" t="n">
        <f aca="false">-Assumptions!$C$7*Assumptions!$C$10*EXP(-Assumptions!$C$9*Assumptions!$C$10)*NORMSDIST(-(((LN(2200/Assumptions!$C$7)+(Assumptions!$C$9-Assumptions!$C$11+Assumptions!$C$8^2/2)*Assumptions!$C$10)/(Assumptions!$C$8*SQRT(Assumptions!$C$10)))-Assumptions!$C$8*SQRT(Assumptions!$C$10)))*0.01</f>
        <v>-5.13623730453719</v>
      </c>
      <c r="L20" s="107" t="n">
        <f aca="false">2200*EXP(-Assumptions!$C$11*Assumptions!$C$10)*NORMSDIST((LN(2200/Assumptions!$C$7)+(Assumptions!$C$9-Assumptions!$C$11+Assumptions!$C$8^2/2)*Assumptions!$C$10)/(Assumptions!$C$8*SQRT(Assumptions!$C$10)))-Assumptions!$C$7*EXP(-Assumptions!$C$9*Assumptions!$C$10)*NORMSDIST(((LN(2200/Assumptions!$C$7)+(Assumptions!$C$9-Assumptions!$C$11+Assumptions!$C$8^2/2)*Assumptions!$C$10)/(Assumptions!$C$8*SQRT(Assumptions!$C$10)))-Assumptions!$C$8*SQRT(Assumptions!$C$10))</f>
        <v>28.4615806784928</v>
      </c>
      <c r="M20" s="108" t="n">
        <f aca="false">Assumptions!$C$7*EXP(-Assumptions!$C$9*Assumptions!$C$10)*NORMSDIST(-(((LN(2200/Assumptions!$C$7)+(Assumptions!$C$9-Assumptions!$C$11+Assumptions!$C$8^2/2)*Assumptions!$C$10)/(Assumptions!$C$8*SQRT(Assumptions!$C$10)))-Assumptions!$C$8*SQRT(Assumptions!$C$10)))-2200*EXP(-Assumptions!$C$11*Assumptions!$C$10)*NORMSDIST(-((LN(2200/Assumptions!$C$7)+(Assumptions!$C$9-Assumptions!$C$11+Assumptions!$C$8^2/2)*Assumptions!$C$10)/(Assumptions!$C$8*SQRT(Assumptions!$C$10))))</f>
        <v>293.658008845799</v>
      </c>
    </row>
    <row r="21" customFormat="false" ht="15" hidden="false" customHeight="true" outlineLevel="0" collapsed="false">
      <c r="B21" s="96" t="n">
        <v>2250</v>
      </c>
      <c r="C21" s="109" t="str">
        <f aca="false">IF(2250&gt;=Assumptions!$C$7*1.05,"ITM",IF(2250&lt;=Assumptions!$C$7*0.95,"OTM","ATM"))</f>
        <v>OTM</v>
      </c>
      <c r="D21" s="110" t="n">
        <f aca="false">NORMSDIST((LN(2250/Assumptions!$C$7)+(Assumptions!$C$9-Assumptions!$C$11+Assumptions!$C$8^2/2)*Assumptions!$C$10)/(Assumptions!$C$8*SQRT(Assumptions!$C$10)))</f>
        <v>0.251306475865123</v>
      </c>
      <c r="E21" s="111" t="n">
        <f aca="false">NORMSDIST((LN(2250/Assumptions!$C$7)+(Assumptions!$C$9-Assumptions!$C$11+Assumptions!$C$8^2/2)*Assumptions!$C$10)/(Assumptions!$C$8*SQRT(Assumptions!$C$10)))-1</f>
        <v>-0.748693524134877</v>
      </c>
      <c r="F21" s="112" t="n">
        <f aca="false">NORMDIST((LN(2250/Assumptions!$C$7)+(Assumptions!$C$9-Assumptions!$C$11+Assumptions!$C$8^2/2)*Assumptions!$C$10)/(Assumptions!$C$8*SQRT(Assumptions!$C$10)),0,1,FALSE())/(2250*Assumptions!$C$8*SQRT(Assumptions!$C$10))</f>
        <v>0.00113299589006231</v>
      </c>
      <c r="G21" s="113" t="n">
        <f aca="false">2250*NORMDIST((LN(2250/Assumptions!$C$7)+(Assumptions!$C$9-Assumptions!$C$11+Assumptions!$C$8^2/2)*Assumptions!$C$10)/(Assumptions!$C$8*SQRT(Assumptions!$C$10)),0,1,FALSE())*SQRT(Assumptions!$C$10)/100</f>
        <v>3.58486980840029</v>
      </c>
      <c r="H21" s="110" t="n">
        <f aca="false">(-((2250*NORMDIST((LN(2250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(2250/Assumptions!$C$7)+(Assumptions!$C$9-Assumptions!$C$11+Assumptions!$C$8^2/2)*Assumptions!$C$10)/(Assumptions!$C$8*SQRT(Assumptions!$C$10)))-Assumptions!$C$8*SQRT(Assumptions!$C$10)))/365</f>
        <v>-0.570294508987171</v>
      </c>
      <c r="I21" s="111" t="n">
        <f aca="false">(-((2250*NORMDIST((LN(2250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(2250/Assumptions!$C$7)+(Assumptions!$C$9-Assumptions!$C$11+Assumptions!$C$8^2/2)*Assumptions!$C$10)/(Assumptions!$C$8*SQRT(Assumptions!$C$10)))-Assumptions!$C$8*SQRT(Assumptions!$C$10))))/365</f>
        <v>-0.198726526311229</v>
      </c>
      <c r="J21" s="110" t="n">
        <f aca="false">Assumptions!$C$7*Assumptions!$C$10*EXP(-Assumptions!$C$9*Assumptions!$C$10)*NORMSDIST(((LN(2250/Assumptions!$C$7)+(Assumptions!$C$9-Assumptions!$C$11+Assumptions!$C$8^2/2)*Assumptions!$C$10)/(Assumptions!$C$8*SQRT(Assumptions!$C$10)))-Assumptions!$C$8*SQRT(Assumptions!$C$10))*0.01</f>
        <v>1.31099139217814</v>
      </c>
      <c r="K21" s="111" t="n">
        <f aca="false">-Assumptions!$C$7*Assumptions!$C$10*EXP(-Assumptions!$C$9*Assumptions!$C$10)*NORMSDIST(-(((LN(2250/Assumptions!$C$7)+(Assumptions!$C$9-Assumptions!$C$11+Assumptions!$C$8^2/2)*Assumptions!$C$10)/(Assumptions!$C$8*SQRT(Assumptions!$C$10)))-Assumptions!$C$8*SQRT(Assumptions!$C$10)))*0.01</f>
        <v>-4.83826685142616</v>
      </c>
      <c r="L21" s="114" t="n">
        <f aca="false">2250*EXP(-Assumptions!$C$11*Assumptions!$C$10)*NORMSDIST((LN(2250/Assumptions!$C$7)+(Assumptions!$C$9-Assumptions!$C$11+Assumptions!$C$8^2/2)*Assumptions!$C$10)/(Assumptions!$C$8*SQRT(Assumptions!$C$10)))-Assumptions!$C$7*EXP(-Assumptions!$C$9*Assumptions!$C$10)*NORMSDIST(((LN(2250/Assumptions!$C$7)+(Assumptions!$C$9-Assumptions!$C$11+Assumptions!$C$8^2/2)*Assumptions!$C$10)/(Assumptions!$C$8*SQRT(Assumptions!$C$10)))-Assumptions!$C$8*SQRT(Assumptions!$C$10))</f>
        <v>39.6311804256097</v>
      </c>
      <c r="M21" s="115" t="n">
        <f aca="false">Assumptions!$C$7*EXP(-Assumptions!$C$9*Assumptions!$C$10)*NORMSDIST(-(((LN(2250/Assumptions!$C$7)+(Assumptions!$C$9-Assumptions!$C$11+Assumptions!$C$8^2/2)*Assumptions!$C$10)/(Assumptions!$C$8*SQRT(Assumptions!$C$10)))-Assumptions!$C$8*SQRT(Assumptions!$C$10)))-2250*EXP(-Assumptions!$C$11*Assumptions!$C$10)*NORMSDIST(-((LN(2250/Assumptions!$C$7)+(Assumptions!$C$9-Assumptions!$C$11+Assumptions!$C$8^2/2)*Assumptions!$C$10)/(Assumptions!$C$8*SQRT(Assumptions!$C$10))))</f>
        <v>254.952452473043</v>
      </c>
    </row>
    <row r="22" customFormat="false" ht="15" hidden="false" customHeight="true" outlineLevel="0" collapsed="false">
      <c r="B22" s="93" t="n">
        <v>2300</v>
      </c>
      <c r="C22" s="102" t="str">
        <f aca="false">IF(2300&gt;=Assumptions!$C$7*1.05,"ITM",IF(2300&lt;=Assumptions!$C$7*0.95,"OTM","ATM"))</f>
        <v>OTM</v>
      </c>
      <c r="D22" s="103" t="n">
        <f aca="false">NORMSDIST((LN(2300/Assumptions!$C$7)+(Assumptions!$C$9-Assumptions!$C$11+Assumptions!$C$8^2/2)*Assumptions!$C$10)/(Assumptions!$C$8*SQRT(Assumptions!$C$10)))</f>
        <v>0.310457888217388</v>
      </c>
      <c r="E22" s="104" t="n">
        <f aca="false">NORMSDIST((LN(2300/Assumptions!$C$7)+(Assumptions!$C$9-Assumptions!$C$11+Assumptions!$C$8^2/2)*Assumptions!$C$10)/(Assumptions!$C$8*SQRT(Assumptions!$C$10)))-1</f>
        <v>-0.689542111782612</v>
      </c>
      <c r="F22" s="105" t="n">
        <f aca="false">NORMDIST((LN(2300/Assumptions!$C$7)+(Assumptions!$C$9-Assumptions!$C$11+Assumptions!$C$8^2/2)*Assumptions!$C$10)/(Assumptions!$C$8*SQRT(Assumptions!$C$10)),0,1,FALSE())/(2300*Assumptions!$C$8*SQRT(Assumptions!$C$10))</f>
        <v>0.00122789658766468</v>
      </c>
      <c r="G22" s="106" t="n">
        <f aca="false">2300*NORMDIST((LN(2300/Assumptions!$C$7)+(Assumptions!$C$9-Assumptions!$C$11+Assumptions!$C$8^2/2)*Assumptions!$C$10)/(Assumptions!$C$8*SQRT(Assumptions!$C$10)),0,1,FALSE())*SQRT(Assumptions!$C$10)/100</f>
        <v>4.05973309296635</v>
      </c>
      <c r="H22" s="103" t="n">
        <f aca="false">(-((2300*NORMDIST((LN(2300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(2300/Assumptions!$C$7)+(Assumptions!$C$9-Assumptions!$C$11+Assumptions!$C$8^2/2)*Assumptions!$C$10)/(Assumptions!$C$8*SQRT(Assumptions!$C$10)))-Assumptions!$C$8*SQRT(Assumptions!$C$10)))/365</f>
        <v>-0.655624846758136</v>
      </c>
      <c r="I22" s="104" t="n">
        <f aca="false">(-((2300*NORMDIST((LN(2300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(2300/Assumptions!$C$7)+(Assumptions!$C$9-Assumptions!$C$11+Assumptions!$C$8^2/2)*Assumptions!$C$10)/(Assumptions!$C$8*SQRT(Assumptions!$C$10)))-Assumptions!$C$8*SQRT(Assumptions!$C$10))))/365</f>
        <v>-0.284056864082195</v>
      </c>
      <c r="J22" s="103" t="n">
        <f aca="false">Assumptions!$C$7*Assumptions!$C$10*EXP(-Assumptions!$C$9*Assumptions!$C$10)*NORMSDIST(((LN(2300/Assumptions!$C$7)+(Assumptions!$C$9-Assumptions!$C$11+Assumptions!$C$8^2/2)*Assumptions!$C$10)/(Assumptions!$C$8*SQRT(Assumptions!$C$10)))-Assumptions!$C$8*SQRT(Assumptions!$C$10))*0.01</f>
        <v>1.64662439893801</v>
      </c>
      <c r="K22" s="104" t="n">
        <f aca="false">-Assumptions!$C$7*Assumptions!$C$10*EXP(-Assumptions!$C$9*Assumptions!$C$10)*NORMSDIST(-(((LN(2300/Assumptions!$C$7)+(Assumptions!$C$9-Assumptions!$C$11+Assumptions!$C$8^2/2)*Assumptions!$C$10)/(Assumptions!$C$8*SQRT(Assumptions!$C$10)))-Assumptions!$C$8*SQRT(Assumptions!$C$10)))*0.01</f>
        <v>-4.50263384466628</v>
      </c>
      <c r="L22" s="107" t="n">
        <f aca="false">2300*EXP(-Assumptions!$C$11*Assumptions!$C$10)*NORMSDIST((LN(2300/Assumptions!$C$7)+(Assumptions!$C$9-Assumptions!$C$11+Assumptions!$C$8^2/2)*Assumptions!$C$10)/(Assumptions!$C$8*SQRT(Assumptions!$C$10)))-Assumptions!$C$7*EXP(-Assumptions!$C$9*Assumptions!$C$10)*NORMSDIST(((LN(2300/Assumptions!$C$7)+(Assumptions!$C$9-Assumptions!$C$11+Assumptions!$C$8^2/2)*Assumptions!$C$10)/(Assumptions!$C$8*SQRT(Assumptions!$C$10)))-Assumptions!$C$8*SQRT(Assumptions!$C$10))</f>
        <v>53.6204800252561</v>
      </c>
      <c r="M22" s="108" t="n">
        <f aca="false">Assumptions!$C$7*EXP(-Assumptions!$C$9*Assumptions!$C$10)*NORMSDIST(-(((LN(2300/Assumptions!$C$7)+(Assumptions!$C$9-Assumptions!$C$11+Assumptions!$C$8^2/2)*Assumptions!$C$10)/(Assumptions!$C$8*SQRT(Assumptions!$C$10)))-Assumptions!$C$8*SQRT(Assumptions!$C$10)))-2300*EXP(-Assumptions!$C$11*Assumptions!$C$10)*NORMSDIST(-((LN(2300/Assumptions!$C$7)+(Assumptions!$C$9-Assumptions!$C$11+Assumptions!$C$8^2/2)*Assumptions!$C$10)/(Assumptions!$C$8*SQRT(Assumptions!$C$10))))</f>
        <v>219.066595952816</v>
      </c>
    </row>
    <row r="23" customFormat="false" ht="15" hidden="false" customHeight="true" outlineLevel="0" collapsed="false">
      <c r="B23" s="96" t="n">
        <v>2350</v>
      </c>
      <c r="C23" s="109" t="str">
        <f aca="false">IF(2350&gt;=Assumptions!$C$7*1.05,"ITM",IF(2350&lt;=Assumptions!$C$7*0.95,"OTM","ATM"))</f>
        <v>OTM</v>
      </c>
      <c r="D23" s="110" t="n">
        <f aca="false">NORMSDIST((LN(2350/Assumptions!$C$7)+(Assumptions!$C$9-Assumptions!$C$11+Assumptions!$C$8^2/2)*Assumptions!$C$10)/(Assumptions!$C$8*SQRT(Assumptions!$C$10)))</f>
        <v>0.373535745688808</v>
      </c>
      <c r="E23" s="111" t="n">
        <f aca="false">NORMSDIST((LN(2350/Assumptions!$C$7)+(Assumptions!$C$9-Assumptions!$C$11+Assumptions!$C$8^2/2)*Assumptions!$C$10)/(Assumptions!$C$8*SQRT(Assumptions!$C$10)))-1</f>
        <v>-0.626464254311192</v>
      </c>
      <c r="F23" s="112" t="n">
        <f aca="false">NORMDIST((LN(2350/Assumptions!$C$7)+(Assumptions!$C$9-Assumptions!$C$11+Assumptions!$C$8^2/2)*Assumptions!$C$10)/(Assumptions!$C$8*SQRT(Assumptions!$C$10)),0,1,FALSE())/(2350*Assumptions!$C$8*SQRT(Assumptions!$C$10))</f>
        <v>0.00128927947229828</v>
      </c>
      <c r="G23" s="113" t="n">
        <f aca="false">2350*NORMDIST((LN(2350/Assumptions!$C$7)+(Assumptions!$C$9-Assumptions!$C$11+Assumptions!$C$8^2/2)*Assumptions!$C$10)/(Assumptions!$C$8*SQRT(Assumptions!$C$10)),0,1,FALSE())*SQRT(Assumptions!$C$10)/100</f>
        <v>4.45002867860453</v>
      </c>
      <c r="H23" s="110" t="n">
        <f aca="false">(-((2350*NORMDIST((LN(2350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(2350/Assumptions!$C$7)+(Assumptions!$C$9-Assumptions!$C$11+Assumptions!$C$8^2/2)*Assumptions!$C$10)/(Assumptions!$C$8*SQRT(Assumptions!$C$10)))-Assumptions!$C$8*SQRT(Assumptions!$C$10)))/365</f>
        <v>-0.731190776160667</v>
      </c>
      <c r="I23" s="111" t="n">
        <f aca="false">(-((2350*NORMDIST((LN(2350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(2350/Assumptions!$C$7)+(Assumptions!$C$9-Assumptions!$C$11+Assumptions!$C$8^2/2)*Assumptions!$C$10)/(Assumptions!$C$8*SQRT(Assumptions!$C$10)))-Assumptions!$C$8*SQRT(Assumptions!$C$10))))/365</f>
        <v>-0.359622793484726</v>
      </c>
      <c r="J23" s="110" t="n">
        <f aca="false">Assumptions!$C$7*Assumptions!$C$10*EXP(-Assumptions!$C$9*Assumptions!$C$10)*NORMSDIST(((LN(2350/Assumptions!$C$7)+(Assumptions!$C$9-Assumptions!$C$11+Assumptions!$C$8^2/2)*Assumptions!$C$10)/(Assumptions!$C$8*SQRT(Assumptions!$C$10)))-Assumptions!$C$8*SQRT(Assumptions!$C$10))*0.01</f>
        <v>2.01238090690841</v>
      </c>
      <c r="K23" s="111" t="n">
        <f aca="false">-Assumptions!$C$7*Assumptions!$C$10*EXP(-Assumptions!$C$9*Assumptions!$C$10)*NORMSDIST(-(((LN(2350/Assumptions!$C$7)+(Assumptions!$C$9-Assumptions!$C$11+Assumptions!$C$8^2/2)*Assumptions!$C$10)/(Assumptions!$C$8*SQRT(Assumptions!$C$10)))-Assumptions!$C$8*SQRT(Assumptions!$C$10)))*0.01</f>
        <v>-4.13687733669589</v>
      </c>
      <c r="L23" s="114" t="n">
        <f aca="false">2350*EXP(-Assumptions!$C$11*Assumptions!$C$10)*NORMSDIST((LN(2350/Assumptions!$C$7)+(Assumptions!$C$9-Assumptions!$C$11+Assumptions!$C$8^2/2)*Assumptions!$C$10)/(Assumptions!$C$8*SQRT(Assumptions!$C$10)))-Assumptions!$C$7*EXP(-Assumptions!$C$9*Assumptions!$C$10)*NORMSDIST(((LN(2350/Assumptions!$C$7)+(Assumptions!$C$9-Assumptions!$C$11+Assumptions!$C$8^2/2)*Assumptions!$C$10)/(Assumptions!$C$8*SQRT(Assumptions!$C$10)))-Assumptions!$C$8*SQRT(Assumptions!$C$10))</f>
        <v>70.6648579680139</v>
      </c>
      <c r="M23" s="115" t="n">
        <f aca="false">Assumptions!$C$7*EXP(-Assumptions!$C$9*Assumptions!$C$10)*NORMSDIST(-(((LN(2350/Assumptions!$C$7)+(Assumptions!$C$9-Assumptions!$C$11+Assumptions!$C$8^2/2)*Assumptions!$C$10)/(Assumptions!$C$8*SQRT(Assumptions!$C$10)))-Assumptions!$C$8*SQRT(Assumptions!$C$10)))-2350*EXP(-Assumptions!$C$11*Assumptions!$C$10)*NORMSDIST(-((LN(2350/Assumptions!$C$7)+(Assumptions!$C$9-Assumptions!$C$11+Assumptions!$C$8^2/2)*Assumptions!$C$10)/(Assumptions!$C$8*SQRT(Assumptions!$C$10))))</f>
        <v>186.235817775701</v>
      </c>
    </row>
    <row r="24" customFormat="false" ht="15" hidden="false" customHeight="true" outlineLevel="0" collapsed="false">
      <c r="B24" s="93" t="n">
        <v>2400</v>
      </c>
      <c r="C24" s="102" t="str">
        <f aca="false">IF(2400&gt;=Assumptions!$C$7*1.05,"ITM",IF(2400&lt;=Assumptions!$C$7*0.95,"OTM","ATM"))</f>
        <v>ATM</v>
      </c>
      <c r="D24" s="103" t="n">
        <f aca="false">NORMSDIST((LN(2400/Assumptions!$C$7)+(Assumptions!$C$9-Assumptions!$C$11+Assumptions!$C$8^2/2)*Assumptions!$C$10)/(Assumptions!$C$8*SQRT(Assumptions!$C$10)))</f>
        <v>0.438774923043773</v>
      </c>
      <c r="E24" s="104" t="n">
        <f aca="false">NORMSDIST((LN(2400/Assumptions!$C$7)+(Assumptions!$C$9-Assumptions!$C$11+Assumptions!$C$8^2/2)*Assumptions!$C$10)/(Assumptions!$C$8*SQRT(Assumptions!$C$10)))-1</f>
        <v>-0.561225076956228</v>
      </c>
      <c r="F24" s="105" t="n">
        <f aca="false">NORMDIST((LN(2400/Assumptions!$C$7)+(Assumptions!$C$9-Assumptions!$C$11+Assumptions!$C$8^2/2)*Assumptions!$C$10)/(Assumptions!$C$8*SQRT(Assumptions!$C$10)),0,1,FALSE())/(2400*Assumptions!$C$8*SQRT(Assumptions!$C$10))</f>
        <v>0.00131411649247925</v>
      </c>
      <c r="G24" s="106" t="n">
        <f aca="false">2400*NORMDIST((LN(2400/Assumptions!$C$7)+(Assumptions!$C$9-Assumptions!$C$11+Assumptions!$C$8^2/2)*Assumptions!$C$10)/(Assumptions!$C$8*SQRT(Assumptions!$C$10)),0,1,FALSE())*SQRT(Assumptions!$C$10)/100</f>
        <v>4.73081937292529</v>
      </c>
      <c r="H24" s="103" t="n">
        <f aca="false">(-((2400*NORMDIST((LN(2400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(2400/Assumptions!$C$7)+(Assumptions!$C$9-Assumptions!$C$11+Assumptions!$C$8^2/2)*Assumptions!$C$10)/(Assumptions!$C$8*SQRT(Assumptions!$C$10)))-Assumptions!$C$8*SQRT(Assumptions!$C$10)))/365</f>
        <v>-0.793003616726283</v>
      </c>
      <c r="I24" s="104" t="n">
        <f aca="false">(-((2400*NORMDIST((LN(2400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(2400/Assumptions!$C$7)+(Assumptions!$C$9-Assumptions!$C$11+Assumptions!$C$8^2/2)*Assumptions!$C$10)/(Assumptions!$C$8*SQRT(Assumptions!$C$10)))-Assumptions!$C$8*SQRT(Assumptions!$C$10))))/365</f>
        <v>-0.421435634050342</v>
      </c>
      <c r="J24" s="103" t="n">
        <f aca="false">Assumptions!$C$7*Assumptions!$C$10*EXP(-Assumptions!$C$9*Assumptions!$C$10)*NORMSDIST(((LN(2400/Assumptions!$C$7)+(Assumptions!$C$9-Assumptions!$C$11+Assumptions!$C$8^2/2)*Assumptions!$C$10)/(Assumptions!$C$8*SQRT(Assumptions!$C$10)))-Assumptions!$C$8*SQRT(Assumptions!$C$10))*0.01</f>
        <v>2.3987842396235</v>
      </c>
      <c r="K24" s="104" t="n">
        <f aca="false">-Assumptions!$C$7*Assumptions!$C$10*EXP(-Assumptions!$C$9*Assumptions!$C$10)*NORMSDIST(-(((LN(2400/Assumptions!$C$7)+(Assumptions!$C$9-Assumptions!$C$11+Assumptions!$C$8^2/2)*Assumptions!$C$10)/(Assumptions!$C$8*SQRT(Assumptions!$C$10)))-Assumptions!$C$8*SQRT(Assumptions!$C$10)))*0.01</f>
        <v>-3.7504740039808</v>
      </c>
      <c r="L24" s="107" t="n">
        <f aca="false">2400*EXP(-Assumptions!$C$11*Assumptions!$C$10)*NORMSDIST((LN(2400/Assumptions!$C$7)+(Assumptions!$C$9-Assumptions!$C$11+Assumptions!$C$8^2/2)*Assumptions!$C$10)/(Assumptions!$C$8*SQRT(Assumptions!$C$10)))-Assumptions!$C$7*EXP(-Assumptions!$C$9*Assumptions!$C$10)*NORMSDIST(((LN(2400/Assumptions!$C$7)+(Assumptions!$C$9-Assumptions!$C$11+Assumptions!$C$8^2/2)*Assumptions!$C$10)/(Assumptions!$C$8*SQRT(Assumptions!$C$10)))-Assumptions!$C$8*SQRT(Assumptions!$C$10))</f>
        <v>90.9167579886851</v>
      </c>
      <c r="M24" s="108" t="n">
        <f aca="false">Assumptions!$C$7*EXP(-Assumptions!$C$9*Assumptions!$C$10)*NORMSDIST(-(((LN(2400/Assumptions!$C$7)+(Assumptions!$C$9-Assumptions!$C$11+Assumptions!$C$8^2/2)*Assumptions!$C$10)/(Assumptions!$C$8*SQRT(Assumptions!$C$10)))-Assumptions!$C$8*SQRT(Assumptions!$C$10)))-2400*EXP(-Assumptions!$C$11*Assumptions!$C$10)*NORMSDIST(-((LN(2400/Assumptions!$C$7)+(Assumptions!$C$9-Assumptions!$C$11+Assumptions!$C$8^2/2)*Assumptions!$C$10)/(Assumptions!$C$8*SQRT(Assumptions!$C$10))))</f>
        <v>156.612561676499</v>
      </c>
    </row>
    <row r="25" customFormat="false" ht="15" hidden="false" customHeight="true" outlineLevel="0" collapsed="false">
      <c r="B25" s="96" t="n">
        <v>2450</v>
      </c>
      <c r="C25" s="109" t="str">
        <f aca="false">IF(2450&gt;=Assumptions!$C$7*1.05,"ITM",IF(2450&lt;=Assumptions!$C$7*0.95,"OTM","ATM"))</f>
        <v>ATM</v>
      </c>
      <c r="D25" s="110" t="n">
        <f aca="false">NORMSDIST((LN(2450/Assumptions!$C$7)+(Assumptions!$C$9-Assumptions!$C$11+Assumptions!$C$8^2/2)*Assumptions!$C$10)/(Assumptions!$C$8*SQRT(Assumptions!$C$10)))</f>
        <v>0.504339744755795</v>
      </c>
      <c r="E25" s="111" t="n">
        <f aca="false">NORMSDIST((LN(2450/Assumptions!$C$7)+(Assumptions!$C$9-Assumptions!$C$11+Assumptions!$C$8^2/2)*Assumptions!$C$10)/(Assumptions!$C$8*SQRT(Assumptions!$C$10)))-1</f>
        <v>-0.495660255244205</v>
      </c>
      <c r="F25" s="112" t="n">
        <f aca="false">NORMDIST((LN(2450/Assumptions!$C$7)+(Assumptions!$C$9-Assumptions!$C$11+Assumptions!$C$8^2/2)*Assumptions!$C$10)/(Assumptions!$C$8*SQRT(Assumptions!$C$10)),0,1,FALSE())/(2450*Assumptions!$C$8*SQRT(Assumptions!$C$10))</f>
        <v>0.00130259159517244</v>
      </c>
      <c r="G25" s="113" t="n">
        <f aca="false">2450*NORMDIST((LN(2450/Assumptions!$C$7)+(Assumptions!$C$9-Assumptions!$C$11+Assumptions!$C$8^2/2)*Assumptions!$C$10)/(Assumptions!$C$8*SQRT(Assumptions!$C$10)),0,1,FALSE())*SQRT(Assumptions!$C$10)/100</f>
        <v>4.88675378126409</v>
      </c>
      <c r="H25" s="110" t="n">
        <f aca="false">(-((2450*NORMDIST((LN(2450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(2450/Assumptions!$C$7)+(Assumptions!$C$9-Assumptions!$C$11+Assumptions!$C$8^2/2)*Assumptions!$C$10)/(Assumptions!$C$8*SQRT(Assumptions!$C$10)))-Assumptions!$C$8*SQRT(Assumptions!$C$10)))/365</f>
        <v>-0.838322235517298</v>
      </c>
      <c r="I25" s="111" t="n">
        <f aca="false">(-((2450*NORMDIST((LN(2450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(2450/Assumptions!$C$7)+(Assumptions!$C$9-Assumptions!$C$11+Assumptions!$C$8^2/2)*Assumptions!$C$10)/(Assumptions!$C$8*SQRT(Assumptions!$C$10)))-Assumptions!$C$8*SQRT(Assumptions!$C$10))))/365</f>
        <v>-0.466754252841357</v>
      </c>
      <c r="J25" s="110" t="n">
        <f aca="false">Assumptions!$C$7*Assumptions!$C$10*EXP(-Assumptions!$C$9*Assumptions!$C$10)*NORMSDIST(((LN(2450/Assumptions!$C$7)+(Assumptions!$C$9-Assumptions!$C$11+Assumptions!$C$8^2/2)*Assumptions!$C$10)/(Assumptions!$C$8*SQRT(Assumptions!$C$10)))-Assumptions!$C$8*SQRT(Assumptions!$C$10))*0.01</f>
        <v>2.79527248086059</v>
      </c>
      <c r="K25" s="111" t="n">
        <f aca="false">-Assumptions!$C$7*Assumptions!$C$10*EXP(-Assumptions!$C$9*Assumptions!$C$10)*NORMSDIST(-(((LN(2450/Assumptions!$C$7)+(Assumptions!$C$9-Assumptions!$C$11+Assumptions!$C$8^2/2)*Assumptions!$C$10)/(Assumptions!$C$8*SQRT(Assumptions!$C$10)))-Assumptions!$C$8*SQRT(Assumptions!$C$10)))*0.01</f>
        <v>-3.3539857627437</v>
      </c>
      <c r="L25" s="114" t="n">
        <f aca="false">2450*EXP(-Assumptions!$C$11*Assumptions!$C$10)*NORMSDIST((LN(2450/Assumptions!$C$7)+(Assumptions!$C$9-Assumptions!$C$11+Assumptions!$C$8^2/2)*Assumptions!$C$10)/(Assumptions!$C$8*SQRT(Assumptions!$C$10)))-Assumptions!$C$7*EXP(-Assumptions!$C$9*Assumptions!$C$10)*NORMSDIST(((LN(2450/Assumptions!$C$7)+(Assumptions!$C$9-Assumptions!$C$11+Assumptions!$C$8^2/2)*Assumptions!$C$10)/(Assumptions!$C$8*SQRT(Assumptions!$C$10)))-Assumptions!$C$8*SQRT(Assumptions!$C$10))</f>
        <v>114.438159506219</v>
      </c>
      <c r="M25" s="115" t="n">
        <f aca="false">Assumptions!$C$7*EXP(-Assumptions!$C$9*Assumptions!$C$10)*NORMSDIST(-(((LN(2450/Assumptions!$C$7)+(Assumptions!$C$9-Assumptions!$C$11+Assumptions!$C$8^2/2)*Assumptions!$C$10)/(Assumptions!$C$8*SQRT(Assumptions!$C$10)))-Assumptions!$C$8*SQRT(Assumptions!$C$10)))-2450*EXP(-Assumptions!$C$11*Assumptions!$C$10)*NORMSDIST(-((LN(2450/Assumptions!$C$7)+(Assumptions!$C$9-Assumptions!$C$11+Assumptions!$C$8^2/2)*Assumptions!$C$10)/(Assumptions!$C$8*SQRT(Assumptions!$C$10))))</f>
        <v>130.25880707416</v>
      </c>
    </row>
    <row r="26" customFormat="false" ht="15" hidden="false" customHeight="true" outlineLevel="0" collapsed="false">
      <c r="B26" s="98" t="n">
        <v>2500</v>
      </c>
      <c r="C26" s="116" t="str">
        <f aca="false">IF(2500&gt;=Assumptions!$C$7*1.05,"ITM",IF(2500&lt;=Assumptions!$C$7*0.95,"OTM","ATM"))</f>
        <v>ATM</v>
      </c>
      <c r="D26" s="117" t="n">
        <f aca="false">NORMSDIST((LN(2500/Assumptions!$C$7)+(Assumptions!$C$9-Assumptions!$C$11+Assumptions!$C$8^2/2)*Assumptions!$C$10)/(Assumptions!$C$8*SQRT(Assumptions!$C$10)))</f>
        <v>0.568477769319923</v>
      </c>
      <c r="E26" s="118" t="n">
        <f aca="false">NORMSDIST((LN(2500/Assumptions!$C$7)+(Assumptions!$C$9-Assumptions!$C$11+Assumptions!$C$8^2/2)*Assumptions!$C$10)/(Assumptions!$C$8*SQRT(Assumptions!$C$10)))-1</f>
        <v>-0.431522230680077</v>
      </c>
      <c r="F26" s="119" t="n">
        <f aca="false">NORMDIST((LN(2500/Assumptions!$C$7)+(Assumptions!$C$9-Assumptions!$C$11+Assumptions!$C$8^2/2)*Assumptions!$C$10)/(Assumptions!$C$8*SQRT(Assumptions!$C$10)),0,1,FALSE())/(2500*Assumptions!$C$8*SQRT(Assumptions!$C$10))</f>
        <v>0.00125776225206871</v>
      </c>
      <c r="G26" s="120" t="n">
        <f aca="false">2500*NORMDIST((LN(2500/Assumptions!$C$7)+(Assumptions!$C$9-Assumptions!$C$11+Assumptions!$C$8^2/2)*Assumptions!$C$10)/(Assumptions!$C$8*SQRT(Assumptions!$C$10)),0,1,FALSE())*SQRT(Assumptions!$C$10)/100</f>
        <v>4.91313379714341</v>
      </c>
      <c r="H26" s="117" t="n">
        <f aca="false">(-((2500*NORMDIST((LN(2500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(2500/Assumptions!$C$7)+(Assumptions!$C$9-Assumptions!$C$11+Assumptions!$C$8^2/2)*Assumptions!$C$10)/(Assumptions!$C$8*SQRT(Assumptions!$C$10)))-Assumptions!$C$8*SQRT(Assumptions!$C$10)))/365</f>
        <v>-0.865854494954784</v>
      </c>
      <c r="I26" s="118" t="n">
        <f aca="false">(-((2500*NORMDIST((LN(2500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(2500/Assumptions!$C$7)+(Assumptions!$C$9-Assumptions!$C$11+Assumptions!$C$8^2/2)*Assumptions!$C$10)/(Assumptions!$C$8*SQRT(Assumptions!$C$10)))-Assumptions!$C$8*SQRT(Assumptions!$C$10))))/365</f>
        <v>-0.494286512278842</v>
      </c>
      <c r="J26" s="117" t="n">
        <f aca="false">Assumptions!$C$7*Assumptions!$C$10*EXP(-Assumptions!$C$9*Assumptions!$C$10)*NORMSDIST(((LN(2500/Assumptions!$C$7)+(Assumptions!$C$9-Assumptions!$C$11+Assumptions!$C$8^2/2)*Assumptions!$C$10)/(Assumptions!$C$8*SQRT(Assumptions!$C$10)))-Assumptions!$C$8*SQRT(Assumptions!$C$10))*0.01</f>
        <v>3.19111227519466</v>
      </c>
      <c r="K26" s="118" t="n">
        <f aca="false">-Assumptions!$C$7*Assumptions!$C$10*EXP(-Assumptions!$C$9*Assumptions!$C$10)*NORMSDIST(-(((LN(2500/Assumptions!$C$7)+(Assumptions!$C$9-Assumptions!$C$11+Assumptions!$C$8^2/2)*Assumptions!$C$10)/(Assumptions!$C$8*SQRT(Assumptions!$C$10)))-Assumptions!$C$8*SQRT(Assumptions!$C$10)))*0.01</f>
        <v>-2.95814596840963</v>
      </c>
      <c r="L26" s="121" t="n">
        <f aca="false">2500*EXP(-Assumptions!$C$11*Assumptions!$C$10)*NORMSDIST((LN(2500/Assumptions!$C$7)+(Assumptions!$C$9-Assumptions!$C$11+Assumptions!$C$8^2/2)*Assumptions!$C$10)/(Assumptions!$C$8*SQRT(Assumptions!$C$10)))-Assumptions!$C$7*EXP(-Assumptions!$C$9*Assumptions!$C$10)*NORMSDIST(((LN(2500/Assumptions!$C$7)+(Assumptions!$C$9-Assumptions!$C$11+Assumptions!$C$8^2/2)*Assumptions!$C$10)/(Assumptions!$C$8*SQRT(Assumptions!$C$10)))-Assumptions!$C$8*SQRT(Assumptions!$C$10))</f>
        <v>141.200964697552</v>
      </c>
      <c r="M26" s="122" t="n">
        <f aca="false">Assumptions!$C$7*EXP(-Assumptions!$C$9*Assumptions!$C$10)*NORMSDIST(-(((LN(2500/Assumptions!$C$7)+(Assumptions!$C$9-Assumptions!$C$11+Assumptions!$C$8^2/2)*Assumptions!$C$10)/(Assumptions!$C$8*SQRT(Assumptions!$C$10)))-Assumptions!$C$8*SQRT(Assumptions!$C$10)))-2500*EXP(-Assumptions!$C$11*Assumptions!$C$10)*NORMSDIST(-((LN(2500/Assumptions!$C$7)+(Assumptions!$C$9-Assumptions!$C$11+Assumptions!$C$8^2/2)*Assumptions!$C$10)/(Assumptions!$C$8*SQRT(Assumptions!$C$10))))</f>
        <v>107.14645614562</v>
      </c>
    </row>
    <row r="27" customFormat="false" ht="15" hidden="false" customHeight="true" outlineLevel="0" collapsed="false">
      <c r="B27" s="96" t="n">
        <v>2550</v>
      </c>
      <c r="C27" s="109" t="str">
        <f aca="false">IF(2550&gt;=Assumptions!$C$7*1.05,"ITM",IF(2550&lt;=Assumptions!$C$7*0.95,"OTM","ATM"))</f>
        <v>ATM</v>
      </c>
      <c r="D27" s="110" t="n">
        <f aca="false">NORMSDIST((LN(2550/Assumptions!$C$7)+(Assumptions!$C$9-Assumptions!$C$11+Assumptions!$C$8^2/2)*Assumptions!$C$10)/(Assumptions!$C$8*SQRT(Assumptions!$C$10)))</f>
        <v>0.629647927380895</v>
      </c>
      <c r="E27" s="111" t="n">
        <f aca="false">NORMSDIST((LN(2550/Assumptions!$C$7)+(Assumptions!$C$9-Assumptions!$C$11+Assumptions!$C$8^2/2)*Assumptions!$C$10)/(Assumptions!$C$8*SQRT(Assumptions!$C$10)))-1</f>
        <v>-0.370352072619105</v>
      </c>
      <c r="F27" s="112" t="n">
        <f aca="false">NORMDIST((LN(2550/Assumptions!$C$7)+(Assumptions!$C$9-Assumptions!$C$11+Assumptions!$C$8^2/2)*Assumptions!$C$10)/(Assumptions!$C$8*SQRT(Assumptions!$C$10)),0,1,FALSE())/(2550*Assumptions!$C$8*SQRT(Assumptions!$C$10))</f>
        <v>0.001184896334239</v>
      </c>
      <c r="G27" s="113" t="n">
        <f aca="false">2550*NORMDIST((LN(2550/Assumptions!$C$7)+(Assumptions!$C$9-Assumptions!$C$11+Assumptions!$C$8^2/2)*Assumptions!$C$10)/(Assumptions!$C$8*SQRT(Assumptions!$C$10)),0,1,FALSE())*SQRT(Assumptions!$C$10)/100</f>
        <v>4.81549275836817</v>
      </c>
      <c r="H27" s="110" t="n">
        <f aca="false">(-((2550*NORMDIST((LN(2550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(2550/Assumptions!$C$7)+(Assumptions!$C$9-Assumptions!$C$11+Assumptions!$C$8^2/2)*Assumptions!$C$10)/(Assumptions!$C$8*SQRT(Assumptions!$C$10)))-Assumptions!$C$8*SQRT(Assumptions!$C$10)))/365</f>
        <v>-0.875750707428908</v>
      </c>
      <c r="I27" s="111" t="n">
        <f aca="false">(-((2550*NORMDIST((LN(2550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(2550/Assumptions!$C$7)+(Assumptions!$C$9-Assumptions!$C$11+Assumptions!$C$8^2/2)*Assumptions!$C$10)/(Assumptions!$C$8*SQRT(Assumptions!$C$10)))-Assumptions!$C$8*SQRT(Assumptions!$C$10))))/365</f>
        <v>-0.504182724752966</v>
      </c>
      <c r="J27" s="110" t="n">
        <f aca="false">Assumptions!$C$7*Assumptions!$C$10*EXP(-Assumptions!$C$9*Assumptions!$C$10)*NORMSDIST(((LN(2550/Assumptions!$C$7)+(Assumptions!$C$9-Assumptions!$C$11+Assumptions!$C$8^2/2)*Assumptions!$C$10)/(Assumptions!$C$8*SQRT(Assumptions!$C$10)))-Assumptions!$C$8*SQRT(Assumptions!$C$10))*0.01</f>
        <v>3.57624684747924</v>
      </c>
      <c r="K27" s="111" t="n">
        <f aca="false">-Assumptions!$C$7*Assumptions!$C$10*EXP(-Assumptions!$C$9*Assumptions!$C$10)*NORMSDIST(-(((LN(2550/Assumptions!$C$7)+(Assumptions!$C$9-Assumptions!$C$11+Assumptions!$C$8^2/2)*Assumptions!$C$10)/(Assumptions!$C$8*SQRT(Assumptions!$C$10)))-Assumptions!$C$8*SQRT(Assumptions!$C$10)))*0.01</f>
        <v>-2.57301139612505</v>
      </c>
      <c r="L27" s="114" t="n">
        <f aca="false">2550*EXP(-Assumptions!$C$11*Assumptions!$C$10)*NORMSDIST((LN(2550/Assumptions!$C$7)+(Assumptions!$C$9-Assumptions!$C$11+Assumptions!$C$8^2/2)*Assumptions!$C$10)/(Assumptions!$C$8*SQRT(Assumptions!$C$10)))-Assumptions!$C$7*EXP(-Assumptions!$C$9*Assumptions!$C$10)*NORMSDIST(((LN(2550/Assumptions!$C$7)+(Assumptions!$C$9-Assumptions!$C$11+Assumptions!$C$8^2/2)*Assumptions!$C$10)/(Assumptions!$C$8*SQRT(Assumptions!$C$10)))-Assumptions!$C$8*SQRT(Assumptions!$C$10))</f>
        <v>171.094483620809</v>
      </c>
      <c r="M27" s="115" t="n">
        <f aca="false">Assumptions!$C$7*EXP(-Assumptions!$C$9*Assumptions!$C$10)*NORMSDIST(-(((LN(2550/Assumptions!$C$7)+(Assumptions!$C$9-Assumptions!$C$11+Assumptions!$C$8^2/2)*Assumptions!$C$10)/(Assumptions!$C$8*SQRT(Assumptions!$C$10)))-Assumptions!$C$8*SQRT(Assumptions!$C$10)))-2550*EXP(-Assumptions!$C$11*Assumptions!$C$10)*NORMSDIST(-((LN(2550/Assumptions!$C$7)+(Assumptions!$C$9-Assumptions!$C$11+Assumptions!$C$8^2/2)*Assumptions!$C$10)/(Assumptions!$C$8*SQRT(Assumptions!$C$10))))</f>
        <v>87.1648189490037</v>
      </c>
    </row>
    <row r="28" customFormat="false" ht="15" hidden="false" customHeight="true" outlineLevel="0" collapsed="false">
      <c r="B28" s="93" t="n">
        <v>2600</v>
      </c>
      <c r="C28" s="102" t="str">
        <f aca="false">IF(2600&gt;=Assumptions!$C$7*1.05,"ITM",IF(2600&lt;=Assumptions!$C$7*0.95,"OTM","ATM"))</f>
        <v>ATM</v>
      </c>
      <c r="D28" s="103" t="n">
        <f aca="false">NORMSDIST((LN(2600/Assumptions!$C$7)+(Assumptions!$C$9-Assumptions!$C$11+Assumptions!$C$8^2/2)*Assumptions!$C$10)/(Assumptions!$C$8*SQRT(Assumptions!$C$10)))</f>
        <v>0.686610604428803</v>
      </c>
      <c r="E28" s="104" t="n">
        <f aca="false">NORMSDIST((LN(2600/Assumptions!$C$7)+(Assumptions!$C$9-Assumptions!$C$11+Assumptions!$C$8^2/2)*Assumptions!$C$10)/(Assumptions!$C$8*SQRT(Assumptions!$C$10)))-1</f>
        <v>-0.313389395571197</v>
      </c>
      <c r="F28" s="105" t="n">
        <f aca="false">NORMDIST((LN(2600/Assumptions!$C$7)+(Assumptions!$C$9-Assumptions!$C$11+Assumptions!$C$8^2/2)*Assumptions!$C$10)/(Assumptions!$C$8*SQRT(Assumptions!$C$10)),0,1,FALSE())/(2600*Assumptions!$C$8*SQRT(Assumptions!$C$10))</f>
        <v>0.00109063968972649</v>
      </c>
      <c r="G28" s="106" t="n">
        <f aca="false">2600*NORMDIST((LN(2600/Assumptions!$C$7)+(Assumptions!$C$9-Assumptions!$C$11+Assumptions!$C$8^2/2)*Assumptions!$C$10)/(Assumptions!$C$8*SQRT(Assumptions!$C$10)),0,1,FALSE())*SQRT(Assumptions!$C$10)/100</f>
        <v>4.60795268909441</v>
      </c>
      <c r="H28" s="103" t="n">
        <f aca="false">(-((2600*NORMDIST((LN(2600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(2600/Assumptions!$C$7)+(Assumptions!$C$9-Assumptions!$C$11+Assumptions!$C$8^2/2)*Assumptions!$C$10)/(Assumptions!$C$8*SQRT(Assumptions!$C$10)))-Assumptions!$C$8*SQRT(Assumptions!$C$10)))/365</f>
        <v>-0.869419897192202</v>
      </c>
      <c r="I28" s="104" t="n">
        <f aca="false">(-((2600*NORMDIST((LN(2600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(2600/Assumptions!$C$7)+(Assumptions!$C$9-Assumptions!$C$11+Assumptions!$C$8^2/2)*Assumptions!$C$10)/(Assumptions!$C$8*SQRT(Assumptions!$C$10)))-Assumptions!$C$8*SQRT(Assumptions!$C$10))))/365</f>
        <v>-0.49785191451626</v>
      </c>
      <c r="J28" s="103" t="n">
        <f aca="false">Assumptions!$C$7*Assumptions!$C$10*EXP(-Assumptions!$C$9*Assumptions!$C$10)*NORMSDIST(((LN(2600/Assumptions!$C$7)+(Assumptions!$C$9-Assumptions!$C$11+Assumptions!$C$8^2/2)*Assumptions!$C$10)/(Assumptions!$C$8*SQRT(Assumptions!$C$10)))-Assumptions!$C$8*SQRT(Assumptions!$C$10))*0.01</f>
        <v>3.9419794506172</v>
      </c>
      <c r="K28" s="104" t="n">
        <f aca="false">-Assumptions!$C$7*Assumptions!$C$10*EXP(-Assumptions!$C$9*Assumptions!$C$10)*NORMSDIST(-(((LN(2600/Assumptions!$C$7)+(Assumptions!$C$9-Assumptions!$C$11+Assumptions!$C$8^2/2)*Assumptions!$C$10)/(Assumptions!$C$8*SQRT(Assumptions!$C$10)))-Assumptions!$C$8*SQRT(Assumptions!$C$10)))*0.01</f>
        <v>-2.2072787929871</v>
      </c>
      <c r="L28" s="107" t="n">
        <f aca="false">2600*EXP(-Assumptions!$C$11*Assumptions!$C$10)*NORMSDIST((LN(2600/Assumptions!$C$7)+(Assumptions!$C$9-Assumptions!$C$11+Assumptions!$C$8^2/2)*Assumptions!$C$10)/(Assumptions!$C$8*SQRT(Assumptions!$C$10)))-Assumptions!$C$7*EXP(-Assumptions!$C$9*Assumptions!$C$10)*NORMSDIST(((LN(2600/Assumptions!$C$7)+(Assumptions!$C$9-Assumptions!$C$11+Assumptions!$C$8^2/2)*Assumptions!$C$10)/(Assumptions!$C$8*SQRT(Assumptions!$C$10)))-Assumptions!$C$8*SQRT(Assumptions!$C$10))</f>
        <v>203.93839640436</v>
      </c>
      <c r="M28" s="108" t="n">
        <f aca="false">Assumptions!$C$7*EXP(-Assumptions!$C$9*Assumptions!$C$10)*NORMSDIST(-(((LN(2600/Assumptions!$C$7)+(Assumptions!$C$9-Assumptions!$C$11+Assumptions!$C$8^2/2)*Assumptions!$C$10)/(Assumptions!$C$8*SQRT(Assumptions!$C$10)))-Assumptions!$C$8*SQRT(Assumptions!$C$10)))-2600*EXP(-Assumptions!$C$11*Assumptions!$C$10)*NORMSDIST(-((LN(2600/Assumptions!$C$7)+(Assumptions!$C$9-Assumptions!$C$11+Assumptions!$C$8^2/2)*Assumptions!$C$10)/(Assumptions!$C$8*SQRT(Assumptions!$C$10))))</f>
        <v>70.1335756126825</v>
      </c>
    </row>
    <row r="29" customFormat="false" ht="15" hidden="false" customHeight="true" outlineLevel="0" collapsed="false">
      <c r="B29" s="96" t="n">
        <v>2650</v>
      </c>
      <c r="C29" s="109" t="str">
        <f aca="false">IF(2650&gt;=Assumptions!$C$7*1.05,"ITM",IF(2650&lt;=Assumptions!$C$7*0.95,"OTM","ATM"))</f>
        <v>ITM</v>
      </c>
      <c r="D29" s="110" t="n">
        <f aca="false">NORMSDIST((LN(2650/Assumptions!$C$7)+(Assumptions!$C$9-Assumptions!$C$11+Assumptions!$C$8^2/2)*Assumptions!$C$10)/(Assumptions!$C$8*SQRT(Assumptions!$C$10)))</f>
        <v>0.738475088309076</v>
      </c>
      <c r="E29" s="111" t="n">
        <f aca="false">NORMSDIST((LN(2650/Assumptions!$C$7)+(Assumptions!$C$9-Assumptions!$C$11+Assumptions!$C$8^2/2)*Assumptions!$C$10)/(Assumptions!$C$8*SQRT(Assumptions!$C$10)))-1</f>
        <v>-0.261524911690924</v>
      </c>
      <c r="F29" s="112" t="n">
        <f aca="false">NORMDIST((LN(2650/Assumptions!$C$7)+(Assumptions!$C$9-Assumptions!$C$11+Assumptions!$C$8^2/2)*Assumptions!$C$10)/(Assumptions!$C$8*SQRT(Assumptions!$C$10)),0,1,FALSE())/(2650*Assumptions!$C$8*SQRT(Assumptions!$C$10))</f>
        <v>0.000982166580934809</v>
      </c>
      <c r="G29" s="113" t="n">
        <f aca="false">2650*NORMDIST((LN(2650/Assumptions!$C$7)+(Assumptions!$C$9-Assumptions!$C$11+Assumptions!$C$8^2/2)*Assumptions!$C$10)/(Assumptions!$C$8*SQRT(Assumptions!$C$10)),0,1,FALSE())*SQRT(Assumptions!$C$10)/100</f>
        <v>4.31079050913419</v>
      </c>
      <c r="H29" s="110" t="n">
        <f aca="false">(-((2650*NORMDIST((LN(2650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(2650/Assumptions!$C$7)+(Assumptions!$C$9-Assumptions!$C$11+Assumptions!$C$8^2/2)*Assumptions!$C$10)/(Assumptions!$C$8*SQRT(Assumptions!$C$10)))-Assumptions!$C$8*SQRT(Assumptions!$C$10)))/365</f>
        <v>-0.849224230345331</v>
      </c>
      <c r="I29" s="111" t="n">
        <f aca="false">(-((2650*NORMDIST((LN(2650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(2650/Assumptions!$C$7)+(Assumptions!$C$9-Assumptions!$C$11+Assumptions!$C$8^2/2)*Assumptions!$C$10)/(Assumptions!$C$8*SQRT(Assumptions!$C$10)))-Assumptions!$C$8*SQRT(Assumptions!$C$10))))/365</f>
        <v>-0.47765624766939</v>
      </c>
      <c r="J29" s="110" t="n">
        <f aca="false">Assumptions!$C$7*Assumptions!$C$10*EXP(-Assumptions!$C$9*Assumptions!$C$10)*NORMSDIST(((LN(2650/Assumptions!$C$7)+(Assumptions!$C$9-Assumptions!$C$11+Assumptions!$C$8^2/2)*Assumptions!$C$10)/(Assumptions!$C$8*SQRT(Assumptions!$C$10)))-Assumptions!$C$8*SQRT(Assumptions!$C$10))*0.01</f>
        <v>4.28143387101855</v>
      </c>
      <c r="K29" s="111" t="n">
        <f aca="false">-Assumptions!$C$7*Assumptions!$C$10*EXP(-Assumptions!$C$9*Assumptions!$C$10)*NORMSDIST(-(((LN(2650/Assumptions!$C$7)+(Assumptions!$C$9-Assumptions!$C$11+Assumptions!$C$8^2/2)*Assumptions!$C$10)/(Assumptions!$C$8*SQRT(Assumptions!$C$10)))-Assumptions!$C$8*SQRT(Assumptions!$C$10)))*0.01</f>
        <v>-1.86782437258575</v>
      </c>
      <c r="L29" s="114" t="n">
        <f aca="false">2650*EXP(-Assumptions!$C$11*Assumptions!$C$10)*NORMSDIST((LN(2650/Assumptions!$C$7)+(Assumptions!$C$9-Assumptions!$C$11+Assumptions!$C$8^2/2)*Assumptions!$C$10)/(Assumptions!$C$8*SQRT(Assumptions!$C$10)))-Assumptions!$C$7*EXP(-Assumptions!$C$9*Assumptions!$C$10)*NORMSDIST(((LN(2650/Assumptions!$C$7)+(Assumptions!$C$9-Assumptions!$C$11+Assumptions!$C$8^2/2)*Assumptions!$C$10)/(Assumptions!$C$8*SQRT(Assumptions!$C$10)))-Assumptions!$C$8*SQRT(Assumptions!$C$10))</f>
        <v>239.499148555344</v>
      </c>
      <c r="M29" s="115" t="n">
        <f aca="false">Assumptions!$C$7*EXP(-Assumptions!$C$9*Assumptions!$C$10)*NORMSDIST(-(((LN(2650/Assumptions!$C$7)+(Assumptions!$C$9-Assumptions!$C$11+Assumptions!$C$8^2/2)*Assumptions!$C$10)/(Assumptions!$C$8*SQRT(Assumptions!$C$10)))-Assumptions!$C$8*SQRT(Assumptions!$C$10)))-2650*EXP(-Assumptions!$C$11*Assumptions!$C$10)*NORMSDIST(-((LN(2650/Assumptions!$C$7)+(Assumptions!$C$9-Assumptions!$C$11+Assumptions!$C$8^2/2)*Assumptions!$C$10)/(Assumptions!$C$8*SQRT(Assumptions!$C$10))))</f>
        <v>55.8191716437938</v>
      </c>
    </row>
    <row r="30" customFormat="false" ht="15" hidden="false" customHeight="true" outlineLevel="0" collapsed="false">
      <c r="B30" s="93" t="n">
        <v>2700</v>
      </c>
      <c r="C30" s="102" t="str">
        <f aca="false">IF(2700&gt;=Assumptions!$C$7*1.05,"ITM",IF(2700&lt;=Assumptions!$C$7*0.95,"OTM","ATM"))</f>
        <v>ITM</v>
      </c>
      <c r="D30" s="103" t="n">
        <f aca="false">NORMSDIST((LN(2700/Assumptions!$C$7)+(Assumptions!$C$9-Assumptions!$C$11+Assumptions!$C$8^2/2)*Assumptions!$C$10)/(Assumptions!$C$8*SQRT(Assumptions!$C$10)))</f>
        <v>0.784706722623869</v>
      </c>
      <c r="E30" s="104" t="n">
        <f aca="false">NORMSDIST((LN(2700/Assumptions!$C$7)+(Assumptions!$C$9-Assumptions!$C$11+Assumptions!$C$8^2/2)*Assumptions!$C$10)/(Assumptions!$C$8*SQRT(Assumptions!$C$10)))-1</f>
        <v>-0.215293277376131</v>
      </c>
      <c r="F30" s="105" t="n">
        <f aca="false">NORMDIST((LN(2700/Assumptions!$C$7)+(Assumptions!$C$9-Assumptions!$C$11+Assumptions!$C$8^2/2)*Assumptions!$C$10)/(Assumptions!$C$8*SQRT(Assumptions!$C$10)),0,1,FALSE())/(2700*Assumptions!$C$8*SQRT(Assumptions!$C$10))</f>
        <v>0.000866434134843297</v>
      </c>
      <c r="G30" s="106" t="n">
        <f aca="false">2700*NORMDIST((LN(2700/Assumptions!$C$7)+(Assumptions!$C$9-Assumptions!$C$11+Assumptions!$C$8^2/2)*Assumptions!$C$10)/(Assumptions!$C$8*SQRT(Assumptions!$C$10)),0,1,FALSE())*SQRT(Assumptions!$C$10)/100</f>
        <v>3.94769052687977</v>
      </c>
      <c r="H30" s="103" t="n">
        <f aca="false">(-((2700*NORMDIST((LN(2700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(2700/Assumptions!$C$7)+(Assumptions!$C$9-Assumptions!$C$11+Assumptions!$C$8^2/2)*Assumptions!$C$10)/(Assumptions!$C$8*SQRT(Assumptions!$C$10)))-Assumptions!$C$8*SQRT(Assumptions!$C$10)))/365</f>
        <v>-0.818116018834352</v>
      </c>
      <c r="I30" s="104" t="n">
        <f aca="false">(-((2700*NORMDIST((LN(2700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(2700/Assumptions!$C$7)+(Assumptions!$C$9-Assumptions!$C$11+Assumptions!$C$8^2/2)*Assumptions!$C$10)/(Assumptions!$C$8*SQRT(Assumptions!$C$10)))-Assumptions!$C$8*SQRT(Assumptions!$C$10))))/365</f>
        <v>-0.44654803615841</v>
      </c>
      <c r="J30" s="103" t="n">
        <f aca="false">Assumptions!$C$7*Assumptions!$C$10*EXP(-Assumptions!$C$9*Assumptions!$C$10)*NORMSDIST(((LN(2700/Assumptions!$C$7)+(Assumptions!$C$9-Assumptions!$C$11+Assumptions!$C$8^2/2)*Assumptions!$C$10)/(Assumptions!$C$8*SQRT(Assumptions!$C$10)))-Assumptions!$C$8*SQRT(Assumptions!$C$10))*0.01</f>
        <v>4.58977577512332</v>
      </c>
      <c r="K30" s="104" t="n">
        <f aca="false">-Assumptions!$C$7*Assumptions!$C$10*EXP(-Assumptions!$C$9*Assumptions!$C$10)*NORMSDIST(-(((LN(2700/Assumptions!$C$7)+(Assumptions!$C$9-Assumptions!$C$11+Assumptions!$C$8^2/2)*Assumptions!$C$10)/(Assumptions!$C$8*SQRT(Assumptions!$C$10)))-Assumptions!$C$8*SQRT(Assumptions!$C$10)))*0.01</f>
        <v>-1.55948246848097</v>
      </c>
      <c r="L30" s="107" t="n">
        <f aca="false">2700*EXP(-Assumptions!$C$11*Assumptions!$C$10)*NORMSDIST((LN(2700/Assumptions!$C$7)+(Assumptions!$C$9-Assumptions!$C$11+Assumptions!$C$8^2/2)*Assumptions!$C$10)/(Assumptions!$C$8*SQRT(Assumptions!$C$10)))-Assumptions!$C$7*EXP(-Assumptions!$C$9*Assumptions!$C$10)*NORMSDIST(((LN(2700/Assumptions!$C$7)+(Assumptions!$C$9-Assumptions!$C$11+Assumptions!$C$8^2/2)*Assumptions!$C$10)/(Assumptions!$C$8*SQRT(Assumptions!$C$10)))-Assumptions!$C$8*SQRT(Assumptions!$C$10))</f>
        <v>277.507686106355</v>
      </c>
      <c r="M30" s="108" t="n">
        <f aca="false">Assumptions!$C$7*EXP(-Assumptions!$C$9*Assumptions!$C$10)*NORMSDIST(-(((LN(2700/Assumptions!$C$7)+(Assumptions!$C$9-Assumptions!$C$11+Assumptions!$C$8^2/2)*Assumptions!$C$10)/(Assumptions!$C$8*SQRT(Assumptions!$C$10)))-Assumptions!$C$8*SQRT(Assumptions!$C$10)))-2700*EXP(-Assumptions!$C$11*Assumptions!$C$10)*NORMSDIST(-((LN(2700/Assumptions!$C$7)+(Assumptions!$C$9-Assumptions!$C$11+Assumptions!$C$8^2/2)*Assumptions!$C$10)/(Assumptions!$C$8*SQRT(Assumptions!$C$10))))</f>
        <v>43.9525530749314</v>
      </c>
    </row>
    <row r="31" customFormat="false" ht="15" hidden="false" customHeight="true" outlineLevel="0" collapsed="false">
      <c r="B31" s="96" t="n">
        <v>2750</v>
      </c>
      <c r="C31" s="109" t="str">
        <f aca="false">IF(2750&gt;=Assumptions!$C$7*1.05,"ITM",IF(2750&lt;=Assumptions!$C$7*0.95,"OTM","ATM"))</f>
        <v>ITM</v>
      </c>
      <c r="D31" s="110" t="n">
        <f aca="false">NORMSDIST((LN(2750/Assumptions!$C$7)+(Assumptions!$C$9-Assumptions!$C$11+Assumptions!$C$8^2/2)*Assumptions!$C$10)/(Assumptions!$C$8*SQRT(Assumptions!$C$10)))</f>
        <v>0.825101067369303</v>
      </c>
      <c r="E31" s="111" t="n">
        <f aca="false">NORMSDIST((LN(2750/Assumptions!$C$7)+(Assumptions!$C$9-Assumptions!$C$11+Assumptions!$C$8^2/2)*Assumptions!$C$10)/(Assumptions!$C$8*SQRT(Assumptions!$C$10)))-1</f>
        <v>-0.174898932630697</v>
      </c>
      <c r="F31" s="112" t="n">
        <f aca="false">NORMDIST((LN(2750/Assumptions!$C$7)+(Assumptions!$C$9-Assumptions!$C$11+Assumptions!$C$8^2/2)*Assumptions!$C$10)/(Assumptions!$C$8*SQRT(Assumptions!$C$10)),0,1,FALSE())/(2750*Assumptions!$C$8*SQRT(Assumptions!$C$10))</f>
        <v>0.000749616865999335</v>
      </c>
      <c r="G31" s="113" t="n">
        <f aca="false">2750*NORMDIST((LN(2750/Assumptions!$C$7)+(Assumptions!$C$9-Assumptions!$C$11+Assumptions!$C$8^2/2)*Assumptions!$C$10)/(Assumptions!$C$8*SQRT(Assumptions!$C$10)),0,1,FALSE())*SQRT(Assumptions!$C$10)/100</f>
        <v>3.54311096819998</v>
      </c>
      <c r="H31" s="110" t="n">
        <f aca="false">(-((2750*NORMDIST((LN(2750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(2750/Assumptions!$C$7)+(Assumptions!$C$9-Assumptions!$C$11+Assumptions!$C$8^2/2)*Assumptions!$C$10)/(Assumptions!$C$8*SQRT(Assumptions!$C$10)))-Assumptions!$C$8*SQRT(Assumptions!$C$10)))/365</f>
        <v>-0.779277073597908</v>
      </c>
      <c r="I31" s="111" t="n">
        <f aca="false">(-((2750*NORMDIST((LN(2750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(2750/Assumptions!$C$7)+(Assumptions!$C$9-Assumptions!$C$11+Assumptions!$C$8^2/2)*Assumptions!$C$10)/(Assumptions!$C$8*SQRT(Assumptions!$C$10)))-Assumptions!$C$8*SQRT(Assumptions!$C$10))))/365</f>
        <v>-0.407709090921967</v>
      </c>
      <c r="J31" s="110" t="n">
        <f aca="false">Assumptions!$C$7*Assumptions!$C$10*EXP(-Assumptions!$C$9*Assumptions!$C$10)*NORMSDIST(((LN(2750/Assumptions!$C$7)+(Assumptions!$C$9-Assumptions!$C$11+Assumptions!$C$8^2/2)*Assumptions!$C$10)/(Assumptions!$C$8*SQRT(Assumptions!$C$10)))-Assumptions!$C$8*SQRT(Assumptions!$C$10))*0.01</f>
        <v>4.86421440760116</v>
      </c>
      <c r="K31" s="111" t="n">
        <f aca="false">-Assumptions!$C$7*Assumptions!$C$10*EXP(-Assumptions!$C$9*Assumptions!$C$10)*NORMSDIST(-(((LN(2750/Assumptions!$C$7)+(Assumptions!$C$9-Assumptions!$C$11+Assumptions!$C$8^2/2)*Assumptions!$C$10)/(Assumptions!$C$8*SQRT(Assumptions!$C$10)))-Assumptions!$C$8*SQRT(Assumptions!$C$10)))*0.01</f>
        <v>-1.28504383600313</v>
      </c>
      <c r="L31" s="114" t="n">
        <f aca="false">2750*EXP(-Assumptions!$C$11*Assumptions!$C$10)*NORMSDIST((LN(2750/Assumptions!$C$7)+(Assumptions!$C$9-Assumptions!$C$11+Assumptions!$C$8^2/2)*Assumptions!$C$10)/(Assumptions!$C$8*SQRT(Assumptions!$C$10)))-Assumptions!$C$7*EXP(-Assumptions!$C$9*Assumptions!$C$10)*NORMSDIST(((LN(2750/Assumptions!$C$7)+(Assumptions!$C$9-Assumptions!$C$11+Assumptions!$C$8^2/2)*Assumptions!$C$10)/(Assumptions!$C$8*SQRT(Assumptions!$C$10)))-Assumptions!$C$8*SQRT(Assumptions!$C$10))</f>
        <v>317.676687194015</v>
      </c>
      <c r="M31" s="115" t="n">
        <f aca="false">Assumptions!$C$7*EXP(-Assumptions!$C$9*Assumptions!$C$10)*NORMSDIST(-(((LN(2750/Assumptions!$C$7)+(Assumptions!$C$9-Assumptions!$C$11+Assumptions!$C$8^2/2)*Assumptions!$C$10)/(Assumptions!$C$8*SQRT(Assumptions!$C$10)))-Assumptions!$C$8*SQRT(Assumptions!$C$10)))-2750*EXP(-Assumptions!$C$11*Assumptions!$C$10)*NORMSDIST(-((LN(2750/Assumptions!$C$7)+(Assumptions!$C$9-Assumptions!$C$11+Assumptions!$C$8^2/2)*Assumptions!$C$10)/(Assumptions!$C$8*SQRT(Assumptions!$C$10))))</f>
        <v>34.2463980427185</v>
      </c>
    </row>
    <row r="32" customFormat="false" ht="15" hidden="false" customHeight="true" outlineLevel="0" collapsed="false">
      <c r="B32" s="93" t="n">
        <v>2800</v>
      </c>
      <c r="C32" s="102" t="str">
        <f aca="false">IF(2800&gt;=Assumptions!$C$7*1.05,"ITM",IF(2800&lt;=Assumptions!$C$7*0.95,"OTM","ATM"))</f>
        <v>ITM</v>
      </c>
      <c r="D32" s="103" t="n">
        <f aca="false">NORMSDIST((LN(2800/Assumptions!$C$7)+(Assumptions!$C$9-Assumptions!$C$11+Assumptions!$C$8^2/2)*Assumptions!$C$10)/(Assumptions!$C$8*SQRT(Assumptions!$C$10)))</f>
        <v>0.859734995017699</v>
      </c>
      <c r="E32" s="104" t="n">
        <f aca="false">NORMSDIST((LN(2800/Assumptions!$C$7)+(Assumptions!$C$9-Assumptions!$C$11+Assumptions!$C$8^2/2)*Assumptions!$C$10)/(Assumptions!$C$8*SQRT(Assumptions!$C$10)))-1</f>
        <v>-0.140265004982302</v>
      </c>
      <c r="F32" s="105" t="n">
        <f aca="false">NORMDIST((LN(2800/Assumptions!$C$7)+(Assumptions!$C$9-Assumptions!$C$11+Assumptions!$C$8^2/2)*Assumptions!$C$10)/(Assumptions!$C$8*SQRT(Assumptions!$C$10)),0,1,FALSE())/(2800*Assumptions!$C$8*SQRT(Assumptions!$C$10))</f>
        <v>0.000636750978343993</v>
      </c>
      <c r="G32" s="106" t="n">
        <f aca="false">2800*NORMDIST((LN(2800/Assumptions!$C$7)+(Assumptions!$C$9-Assumptions!$C$11+Assumptions!$C$8^2/2)*Assumptions!$C$10)/(Assumptions!$C$8*SQRT(Assumptions!$C$10)),0,1,FALSE())*SQRT(Assumptions!$C$10)/100</f>
        <v>3.12007979388557</v>
      </c>
      <c r="H32" s="103" t="n">
        <f aca="false">(-((2800*NORMDIST((LN(2800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(2800/Assumptions!$C$7)+(Assumptions!$C$9-Assumptions!$C$11+Assumptions!$C$8^2/2)*Assumptions!$C$10)/(Assumptions!$C$8*SQRT(Assumptions!$C$10)))-Assumptions!$C$8*SQRT(Assumptions!$C$10)))/365</f>
        <v>-0.735806253110744</v>
      </c>
      <c r="I32" s="104" t="n">
        <f aca="false">(-((2800*NORMDIST((LN(2800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(2800/Assumptions!$C$7)+(Assumptions!$C$9-Assumptions!$C$11+Assumptions!$C$8^2/2)*Assumptions!$C$10)/(Assumptions!$C$8*SQRT(Assumptions!$C$10)))-Assumptions!$C$8*SQRT(Assumptions!$C$10))))/365</f>
        <v>-0.364238270434803</v>
      </c>
      <c r="J32" s="103" t="n">
        <f aca="false">Assumptions!$C$7*Assumptions!$C$10*EXP(-Assumptions!$C$9*Assumptions!$C$10)*NORMSDIST(((LN(2800/Assumptions!$C$7)+(Assumptions!$C$9-Assumptions!$C$11+Assumptions!$C$8^2/2)*Assumptions!$C$10)/(Assumptions!$C$8*SQRT(Assumptions!$C$10)))-Assumptions!$C$8*SQRT(Assumptions!$C$10))*0.01</f>
        <v>5.10382867877269</v>
      </c>
      <c r="K32" s="104" t="n">
        <f aca="false">-Assumptions!$C$7*Assumptions!$C$10*EXP(-Assumptions!$C$9*Assumptions!$C$10)*NORMSDIST(-(((LN(2800/Assumptions!$C$7)+(Assumptions!$C$9-Assumptions!$C$11+Assumptions!$C$8^2/2)*Assumptions!$C$10)/(Assumptions!$C$8*SQRT(Assumptions!$C$10)))-Assumptions!$C$8*SQRT(Assumptions!$C$10)))*0.01</f>
        <v>-1.04542956483161</v>
      </c>
      <c r="L32" s="107" t="n">
        <f aca="false">2800*EXP(-Assumptions!$C$11*Assumptions!$C$10)*NORMSDIST((LN(2800/Assumptions!$C$7)+(Assumptions!$C$9-Assumptions!$C$11+Assumptions!$C$8^2/2)*Assumptions!$C$10)/(Assumptions!$C$8*SQRT(Assumptions!$C$10)))-Assumptions!$C$7*EXP(-Assumptions!$C$9*Assumptions!$C$10)*NORMSDIST(((LN(2800/Assumptions!$C$7)+(Assumptions!$C$9-Assumptions!$C$11+Assumptions!$C$8^2/2)*Assumptions!$C$10)/(Assumptions!$C$8*SQRT(Assumptions!$C$10)))-Assumptions!$C$8*SQRT(Assumptions!$C$10))</f>
        <v>359.715885991577</v>
      </c>
      <c r="M32" s="108" t="n">
        <f aca="false">Assumptions!$C$7*EXP(-Assumptions!$C$9*Assumptions!$C$10)*NORMSDIST(-(((LN(2800/Assumptions!$C$7)+(Assumptions!$C$9-Assumptions!$C$11+Assumptions!$C$8^2/2)*Assumptions!$C$10)/(Assumptions!$C$8*SQRT(Assumptions!$C$10)))-Assumptions!$C$8*SQRT(Assumptions!$C$10)))-2800*EXP(-Assumptions!$C$11*Assumptions!$C$10)*NORMSDIST(-((LN(2800/Assumptions!$C$7)+(Assumptions!$C$9-Assumptions!$C$11+Assumptions!$C$8^2/2)*Assumptions!$C$10)/(Assumptions!$C$8*SQRT(Assumptions!$C$10))))</f>
        <v>26.4104407204072</v>
      </c>
    </row>
    <row r="33" customFormat="false" ht="15" hidden="false" customHeight="true" outlineLevel="0" collapsed="false">
      <c r="B33" s="96" t="n">
        <v>2850</v>
      </c>
      <c r="C33" s="109" t="str">
        <f aca="false">IF(2850&gt;=Assumptions!$C$7*1.05,"ITM",IF(2850&lt;=Assumptions!$C$7*0.95,"OTM","ATM"))</f>
        <v>ITM</v>
      </c>
      <c r="D33" s="110" t="n">
        <f aca="false">NORMSDIST((LN(2850/Assumptions!$C$7)+(Assumptions!$C$9-Assumptions!$C$11+Assumptions!$C$8^2/2)*Assumptions!$C$10)/(Assumptions!$C$8*SQRT(Assumptions!$C$10)))</f>
        <v>0.888905128745352</v>
      </c>
      <c r="E33" s="111" t="n">
        <f aca="false">NORMSDIST((LN(2850/Assumptions!$C$7)+(Assumptions!$C$9-Assumptions!$C$11+Assumptions!$C$8^2/2)*Assumptions!$C$10)/(Assumptions!$C$8*SQRT(Assumptions!$C$10)))-1</f>
        <v>-0.111094871254648</v>
      </c>
      <c r="F33" s="112" t="n">
        <f aca="false">NORMDIST((LN(2850/Assumptions!$C$7)+(Assumptions!$C$9-Assumptions!$C$11+Assumptions!$C$8^2/2)*Assumptions!$C$10)/(Assumptions!$C$8*SQRT(Assumptions!$C$10)),0,1,FALSE())/(2850*Assumptions!$C$8*SQRT(Assumptions!$C$10))</f>
        <v>0.000531579726035012</v>
      </c>
      <c r="G33" s="113" t="n">
        <f aca="false">2850*NORMDIST((LN(2850/Assumptions!$C$7)+(Assumptions!$C$9-Assumptions!$C$11+Assumptions!$C$8^2/2)*Assumptions!$C$10)/(Assumptions!$C$8*SQRT(Assumptions!$C$10)),0,1,FALSE())*SQRT(Assumptions!$C$10)/100</f>
        <v>2.69859770294962</v>
      </c>
      <c r="H33" s="110" t="n">
        <f aca="false">(-((2850*NORMDIST((LN(2850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(2850/Assumptions!$C$7)+(Assumptions!$C$9-Assumptions!$C$11+Assumptions!$C$8^2/2)*Assumptions!$C$10)/(Assumptions!$C$8*SQRT(Assumptions!$C$10)))-Assumptions!$C$8*SQRT(Assumptions!$C$10)))/365</f>
        <v>-0.690482963868278</v>
      </c>
      <c r="I33" s="111" t="n">
        <f aca="false">(-((2850*NORMDIST((LN(2850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(2850/Assumptions!$C$7)+(Assumptions!$C$9-Assumptions!$C$11+Assumptions!$C$8^2/2)*Assumptions!$C$10)/(Assumptions!$C$8*SQRT(Assumptions!$C$10)))-Assumptions!$C$8*SQRT(Assumptions!$C$10))))/365</f>
        <v>-0.318914981192337</v>
      </c>
      <c r="J33" s="110" t="n">
        <f aca="false">Assumptions!$C$7*Assumptions!$C$10*EXP(-Assumptions!$C$9*Assumptions!$C$10)*NORMSDIST(((LN(2850/Assumptions!$C$7)+(Assumptions!$C$9-Assumptions!$C$11+Assumptions!$C$8^2/2)*Assumptions!$C$10)/(Assumptions!$C$8*SQRT(Assumptions!$C$10)))-Assumptions!$C$8*SQRT(Assumptions!$C$10))*0.01</f>
        <v>5.30927369519414</v>
      </c>
      <c r="K33" s="111" t="n">
        <f aca="false">-Assumptions!$C$7*Assumptions!$C$10*EXP(-Assumptions!$C$9*Assumptions!$C$10)*NORMSDIST(-(((LN(2850/Assumptions!$C$7)+(Assumptions!$C$9-Assumptions!$C$11+Assumptions!$C$8^2/2)*Assumptions!$C$10)/(Assumptions!$C$8*SQRT(Assumptions!$C$10)))-Assumptions!$C$8*SQRT(Assumptions!$C$10)))*0.01</f>
        <v>-0.839984548410152</v>
      </c>
      <c r="L33" s="114" t="n">
        <f aca="false">2850*EXP(-Assumptions!$C$11*Assumptions!$C$10)*NORMSDIST((LN(2850/Assumptions!$C$7)+(Assumptions!$C$9-Assumptions!$C$11+Assumptions!$C$8^2/2)*Assumptions!$C$10)/(Assumptions!$C$8*SQRT(Assumptions!$C$10)))-Assumptions!$C$7*EXP(-Assumptions!$C$9*Assumptions!$C$10)*NORMSDIST(((LN(2850/Assumptions!$C$7)+(Assumptions!$C$9-Assumptions!$C$11+Assumptions!$C$8^2/2)*Assumptions!$C$10)/(Assumptions!$C$8*SQRT(Assumptions!$C$10)))-Assumptions!$C$8*SQRT(Assumptions!$C$10))</f>
        <v>403.344600022368</v>
      </c>
      <c r="M33" s="115" t="n">
        <f aca="false">Assumptions!$C$7*EXP(-Assumptions!$C$9*Assumptions!$C$10)*NORMSDIST(-(((LN(2850/Assumptions!$C$7)+(Assumptions!$C$9-Assumptions!$C$11+Assumptions!$C$8^2/2)*Assumptions!$C$10)/(Assumptions!$C$8*SQRT(Assumptions!$C$10)))-Assumptions!$C$8*SQRT(Assumptions!$C$10)))-2850*EXP(-Assumptions!$C$11*Assumptions!$C$10)*NORMSDIST(-((LN(2850/Assumptions!$C$7)+(Assumptions!$C$9-Assumptions!$C$11+Assumptions!$C$8^2/2)*Assumptions!$C$10)/(Assumptions!$C$8*SQRT(Assumptions!$C$10))))</f>
        <v>20.1639986313247</v>
      </c>
    </row>
    <row r="34" customFormat="false" ht="15" hidden="false" customHeight="true" outlineLevel="0" collapsed="false">
      <c r="B34" s="93" t="n">
        <v>2900</v>
      </c>
      <c r="C34" s="102" t="str">
        <f aca="false">IF(2900&gt;=Assumptions!$C$7*1.05,"ITM",IF(2900&lt;=Assumptions!$C$7*0.95,"OTM","ATM"))</f>
        <v>ITM</v>
      </c>
      <c r="D34" s="103" t="n">
        <f aca="false">NORMSDIST((LN(2900/Assumptions!$C$7)+(Assumptions!$C$9-Assumptions!$C$11+Assumptions!$C$8^2/2)*Assumptions!$C$10)/(Assumptions!$C$8*SQRT(Assumptions!$C$10)))</f>
        <v>0.913062890953317</v>
      </c>
      <c r="E34" s="104" t="n">
        <f aca="false">NORMSDIST((LN(2900/Assumptions!$C$7)+(Assumptions!$C$9-Assumptions!$C$11+Assumptions!$C$8^2/2)*Assumptions!$C$10)/(Assumptions!$C$8*SQRT(Assumptions!$C$10)))-1</f>
        <v>-0.0869371090466833</v>
      </c>
      <c r="F34" s="105" t="n">
        <f aca="false">NORMDIST((LN(2900/Assumptions!$C$7)+(Assumptions!$C$9-Assumptions!$C$11+Assumptions!$C$8^2/2)*Assumptions!$C$10)/(Assumptions!$C$8*SQRT(Assumptions!$C$10)),0,1,FALSE())/(2900*Assumptions!$C$8*SQRT(Assumptions!$C$10))</f>
        <v>0.000436565265864673</v>
      </c>
      <c r="G34" s="106" t="n">
        <f aca="false">2900*NORMDIST((LN(2900/Assumptions!$C$7)+(Assumptions!$C$9-Assumptions!$C$11+Assumptions!$C$8^2/2)*Assumptions!$C$10)/(Assumptions!$C$8*SQRT(Assumptions!$C$10)),0,1,FALSE())*SQRT(Assumptions!$C$10)/100</f>
        <v>2.29469617870119</v>
      </c>
      <c r="H34" s="103" t="n">
        <f aca="false">(-((2900*NORMDIST((LN(2900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(2900/Assumptions!$C$7)+(Assumptions!$C$9-Assumptions!$C$11+Assumptions!$C$8^2/2)*Assumptions!$C$10)/(Assumptions!$C$8*SQRT(Assumptions!$C$10)))-Assumptions!$C$8*SQRT(Assumptions!$C$10)))/365</f>
        <v>-0.6456166103971</v>
      </c>
      <c r="I34" s="104" t="n">
        <f aca="false">(-((2900*NORMDIST((LN(2900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(2900/Assumptions!$C$7)+(Assumptions!$C$9-Assumptions!$C$11+Assumptions!$C$8^2/2)*Assumptions!$C$10)/(Assumptions!$C$8*SQRT(Assumptions!$C$10)))-Assumptions!$C$8*SQRT(Assumptions!$C$10))))/365</f>
        <v>-0.274048627721158</v>
      </c>
      <c r="J34" s="103" t="n">
        <f aca="false">Assumptions!$C$7*Assumptions!$C$10*EXP(-Assumptions!$C$9*Assumptions!$C$10)*NORMSDIST(((LN(2900/Assumptions!$C$7)+(Assumptions!$C$9-Assumptions!$C$11+Assumptions!$C$8^2/2)*Assumptions!$C$10)/(Assumptions!$C$8*SQRT(Assumptions!$C$10)))-Assumptions!$C$8*SQRT(Assumptions!$C$10))*0.01</f>
        <v>5.48242469412335</v>
      </c>
      <c r="K34" s="104" t="n">
        <f aca="false">-Assumptions!$C$7*Assumptions!$C$10*EXP(-Assumptions!$C$9*Assumptions!$C$10)*NORMSDIST(-(((LN(2900/Assumptions!$C$7)+(Assumptions!$C$9-Assumptions!$C$11+Assumptions!$C$8^2/2)*Assumptions!$C$10)/(Assumptions!$C$8*SQRT(Assumptions!$C$10)))-Assumptions!$C$8*SQRT(Assumptions!$C$10)))*0.01</f>
        <v>-0.666833549480942</v>
      </c>
      <c r="L34" s="107" t="n">
        <f aca="false">2900*EXP(-Assumptions!$C$11*Assumptions!$C$10)*NORMSDIST((LN(2900/Assumptions!$C$7)+(Assumptions!$C$9-Assumptions!$C$11+Assumptions!$C$8^2/2)*Assumptions!$C$10)/(Assumptions!$C$8*SQRT(Assumptions!$C$10)))-Assumptions!$C$7*EXP(-Assumptions!$C$9*Assumptions!$C$10)*NORMSDIST(((LN(2900/Assumptions!$C$7)+(Assumptions!$C$9-Assumptions!$C$11+Assumptions!$C$8^2/2)*Assumptions!$C$10)/(Assumptions!$C$8*SQRT(Assumptions!$C$10)))-Assumptions!$C$8*SQRT(Assumptions!$C$10))</f>
        <v>448.301067897095</v>
      </c>
      <c r="M34" s="108" t="n">
        <f aca="false">Assumptions!$C$7*EXP(-Assumptions!$C$9*Assumptions!$C$10)*NORMSDIST(-(((LN(2900/Assumptions!$C$7)+(Assumptions!$C$9-Assumptions!$C$11+Assumptions!$C$8^2/2)*Assumptions!$C$10)/(Assumptions!$C$8*SQRT(Assumptions!$C$10)))-Assumptions!$C$8*SQRT(Assumptions!$C$10)))-2900*EXP(-Assumptions!$C$11*Assumptions!$C$10)*NORMSDIST(-((LN(2900/Assumptions!$C$7)+(Assumptions!$C$9-Assumptions!$C$11+Assumptions!$C$8^2/2)*Assumptions!$C$10)/(Assumptions!$C$8*SQRT(Assumptions!$C$10))))</f>
        <v>15.245310386179</v>
      </c>
    </row>
    <row r="35" customFormat="false" ht="15" hidden="false" customHeight="true" outlineLevel="0" collapsed="false">
      <c r="B35" s="96" t="n">
        <v>2950</v>
      </c>
      <c r="C35" s="109" t="str">
        <f aca="false">IF(2950&gt;=Assumptions!$C$7*1.05,"ITM",IF(2950&lt;=Assumptions!$C$7*0.95,"OTM","ATM"))</f>
        <v>ITM</v>
      </c>
      <c r="D35" s="110" t="n">
        <f aca="false">NORMSDIST((LN(2950/Assumptions!$C$7)+(Assumptions!$C$9-Assumptions!$C$11+Assumptions!$C$8^2/2)*Assumptions!$C$10)/(Assumptions!$C$8*SQRT(Assumptions!$C$10)))</f>
        <v>0.932753333698842</v>
      </c>
      <c r="E35" s="111" t="n">
        <f aca="false">NORMSDIST((LN(2950/Assumptions!$C$7)+(Assumptions!$C$9-Assumptions!$C$11+Assumptions!$C$8^2/2)*Assumptions!$C$10)/(Assumptions!$C$8*SQRT(Assumptions!$C$10)))-1</f>
        <v>-0.0672466663011578</v>
      </c>
      <c r="F35" s="112" t="n">
        <f aca="false">NORMDIST((LN(2950/Assumptions!$C$7)+(Assumptions!$C$9-Assumptions!$C$11+Assumptions!$C$8^2/2)*Assumptions!$C$10)/(Assumptions!$C$8*SQRT(Assumptions!$C$10)),0,1,FALSE())/(2950*Assumptions!$C$8*SQRT(Assumptions!$C$10))</f>
        <v>0.000353019793634772</v>
      </c>
      <c r="G35" s="113" t="n">
        <f aca="false">2950*NORMDIST((LN(2950/Assumptions!$C$7)+(Assumptions!$C$9-Assumptions!$C$11+Assumptions!$C$8^2/2)*Assumptions!$C$10)/(Assumptions!$C$8*SQRT(Assumptions!$C$10)),0,1,FALSE())*SQRT(Assumptions!$C$10)/100</f>
        <v>1.92009672131662</v>
      </c>
      <c r="H35" s="110" t="n">
        <f aca="false">(-((2950*NORMDIST((LN(2950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(2950/Assumptions!$C$7)+(Assumptions!$C$9-Assumptions!$C$11+Assumptions!$C$8^2/2)*Assumptions!$C$10)/(Assumptions!$C$8*SQRT(Assumptions!$C$10)))-Assumptions!$C$8*SQRT(Assumptions!$C$10)))/365</f>
        <v>-0.602977623413234</v>
      </c>
      <c r="I35" s="111" t="n">
        <f aca="false">(-((2950*NORMDIST((LN(2950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(2950/Assumptions!$C$7)+(Assumptions!$C$9-Assumptions!$C$11+Assumptions!$C$8^2/2)*Assumptions!$C$10)/(Assumptions!$C$8*SQRT(Assumptions!$C$10)))-Assumptions!$C$8*SQRT(Assumptions!$C$10))))/365</f>
        <v>-0.231409640737293</v>
      </c>
      <c r="J35" s="110" t="n">
        <f aca="false">Assumptions!$C$7*Assumptions!$C$10*EXP(-Assumptions!$C$9*Assumptions!$C$10)*NORMSDIST(((LN(2950/Assumptions!$C$7)+(Assumptions!$C$9-Assumptions!$C$11+Assumptions!$C$8^2/2)*Assumptions!$C$10)/(Assumptions!$C$8*SQRT(Assumptions!$C$10)))-Assumptions!$C$8*SQRT(Assumptions!$C$10))*0.01</f>
        <v>5.62600813282318</v>
      </c>
      <c r="K35" s="111" t="n">
        <f aca="false">-Assumptions!$C$7*Assumptions!$C$10*EXP(-Assumptions!$C$9*Assumptions!$C$10)*NORMSDIST(-(((LN(2950/Assumptions!$C$7)+(Assumptions!$C$9-Assumptions!$C$11+Assumptions!$C$8^2/2)*Assumptions!$C$10)/(Assumptions!$C$8*SQRT(Assumptions!$C$10)))-Assumptions!$C$8*SQRT(Assumptions!$C$10)))*0.01</f>
        <v>-0.523250110781117</v>
      </c>
      <c r="L35" s="114" t="n">
        <f aca="false">2950*EXP(-Assumptions!$C$11*Assumptions!$C$10)*NORMSDIST((LN(2950/Assumptions!$C$7)+(Assumptions!$C$9-Assumptions!$C$11+Assumptions!$C$8^2/2)*Assumptions!$C$10)/(Assumptions!$C$8*SQRT(Assumptions!$C$10)))-Assumptions!$C$7*EXP(-Assumptions!$C$9*Assumptions!$C$10)*NORMSDIST(((LN(2950/Assumptions!$C$7)+(Assumptions!$C$9-Assumptions!$C$11+Assumptions!$C$8^2/2)*Assumptions!$C$10)/(Assumptions!$C$8*SQRT(Assumptions!$C$10)))-Assumptions!$C$8*SQRT(Assumptions!$C$10))</f>
        <v>494.348617104872</v>
      </c>
      <c r="M35" s="115" t="n">
        <f aca="false">Assumptions!$C$7*EXP(-Assumptions!$C$9*Assumptions!$C$10)*NORMSDIST(-(((LN(2950/Assumptions!$C$7)+(Assumptions!$C$9-Assumptions!$C$11+Assumptions!$C$8^2/2)*Assumptions!$C$10)/(Assumptions!$C$8*SQRT(Assumptions!$C$10)))-Assumptions!$C$8*SQRT(Assumptions!$C$10)))-2950*EXP(-Assumptions!$C$11*Assumptions!$C$10)*NORMSDIST(-((LN(2950/Assumptions!$C$7)+(Assumptions!$C$9-Assumptions!$C$11+Assumptions!$C$8^2/2)*Assumptions!$C$10)/(Assumptions!$C$8*SQRT(Assumptions!$C$10))))</f>
        <v>11.417703474083</v>
      </c>
    </row>
    <row r="36" customFormat="false" ht="15" hidden="false" customHeight="true" outlineLevel="0" collapsed="false">
      <c r="B36" s="93" t="n">
        <v>3000</v>
      </c>
      <c r="C36" s="102" t="str">
        <f aca="false">IF(3000&gt;=Assumptions!$C$7*1.05,"ITM",IF(3000&lt;=Assumptions!$C$7*0.95,"OTM","ATM"))</f>
        <v>ITM</v>
      </c>
      <c r="D36" s="103" t="n">
        <f aca="false">NORMSDIST((LN(3000/Assumptions!$C$7)+(Assumptions!$C$9-Assumptions!$C$11+Assumptions!$C$8^2/2)*Assumptions!$C$10)/(Assumptions!$C$8*SQRT(Assumptions!$C$10)))</f>
        <v>0.94856248392074</v>
      </c>
      <c r="E36" s="104" t="n">
        <f aca="false">NORMSDIST((LN(3000/Assumptions!$C$7)+(Assumptions!$C$9-Assumptions!$C$11+Assumptions!$C$8^2/2)*Assumptions!$C$10)/(Assumptions!$C$8*SQRT(Assumptions!$C$10)))-1</f>
        <v>-0.05143751607926</v>
      </c>
      <c r="F36" s="105" t="n">
        <f aca="false">NORMDIST((LN(3000/Assumptions!$C$7)+(Assumptions!$C$9-Assumptions!$C$11+Assumptions!$C$8^2/2)*Assumptions!$C$10)/(Assumptions!$C$8*SQRT(Assumptions!$C$10)),0,1,FALSE())/(3000*Assumptions!$C$8*SQRT(Assumptions!$C$10))</f>
        <v>0.000281307203516031</v>
      </c>
      <c r="G36" s="106" t="n">
        <f aca="false">3000*NORMDIST((LN(3000/Assumptions!$C$7)+(Assumptions!$C$9-Assumptions!$C$11+Assumptions!$C$8^2/2)*Assumptions!$C$10)/(Assumptions!$C$8*SQRT(Assumptions!$C$10)),0,1,FALSE())*SQRT(Assumptions!$C$10)/100</f>
        <v>1.58235301977768</v>
      </c>
      <c r="H36" s="103" t="n">
        <f aca="false">(-((3000*NORMDIST((LN(3000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(3000/Assumptions!$C$7)+(Assumptions!$C$9-Assumptions!$C$11+Assumptions!$C$8^2/2)*Assumptions!$C$10)/(Assumptions!$C$8*SQRT(Assumptions!$C$10)))-Assumptions!$C$8*SQRT(Assumptions!$C$10)))/365</f>
        <v>-0.563796159012654</v>
      </c>
      <c r="I36" s="104" t="n">
        <f aca="false">(-((3000*NORMDIST((LN(3000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(3000/Assumptions!$C$7)+(Assumptions!$C$9-Assumptions!$C$11+Assumptions!$C$8^2/2)*Assumptions!$C$10)/(Assumptions!$C$8*SQRT(Assumptions!$C$10)))-Assumptions!$C$8*SQRT(Assumptions!$C$10))))/365</f>
        <v>-0.192228176336713</v>
      </c>
      <c r="J36" s="103" t="n">
        <f aca="false">Assumptions!$C$7*Assumptions!$C$10*EXP(-Assumptions!$C$9*Assumptions!$C$10)*NORMSDIST(((LN(3000/Assumptions!$C$7)+(Assumptions!$C$9-Assumptions!$C$11+Assumptions!$C$8^2/2)*Assumptions!$C$10)/(Assumptions!$C$8*SQRT(Assumptions!$C$10)))-Assumptions!$C$8*SQRT(Assumptions!$C$10))*0.01</f>
        <v>5.74325784958109</v>
      </c>
      <c r="K36" s="104" t="n">
        <f aca="false">-Assumptions!$C$7*Assumptions!$C$10*EXP(-Assumptions!$C$9*Assumptions!$C$10)*NORMSDIST(-(((LN(3000/Assumptions!$C$7)+(Assumptions!$C$9-Assumptions!$C$11+Assumptions!$C$8^2/2)*Assumptions!$C$10)/(Assumptions!$C$8*SQRT(Assumptions!$C$10)))-Assumptions!$C$8*SQRT(Assumptions!$C$10)))*0.01</f>
        <v>-0.406000394023202</v>
      </c>
      <c r="L36" s="107" t="n">
        <f aca="false">3000*EXP(-Assumptions!$C$11*Assumptions!$C$10)*NORMSDIST((LN(3000/Assumptions!$C$7)+(Assumptions!$C$9-Assumptions!$C$11+Assumptions!$C$8^2/2)*Assumptions!$C$10)/(Assumptions!$C$8*SQRT(Assumptions!$C$10)))-Assumptions!$C$7*EXP(-Assumptions!$C$9*Assumptions!$C$10)*NORMSDIST(((LN(3000/Assumptions!$C$7)+(Assumptions!$C$9-Assumptions!$C$11+Assumptions!$C$8^2/2)*Assumptions!$C$10)/(Assumptions!$C$8*SQRT(Assumptions!$C$10)))-Assumptions!$C$8*SQRT(Assumptions!$C$10))</f>
        <v>541.278978667649</v>
      </c>
      <c r="M36" s="108" t="n">
        <f aca="false">Assumptions!$C$7*EXP(-Assumptions!$C$9*Assumptions!$C$10)*NORMSDIST(-(((LN(3000/Assumptions!$C$7)+(Assumptions!$C$9-Assumptions!$C$11+Assumptions!$C$8^2/2)*Assumptions!$C$10)/(Assumptions!$C$8*SQRT(Assumptions!$C$10)))-Assumptions!$C$8*SQRT(Assumptions!$C$10)))-3000*EXP(-Assumptions!$C$11*Assumptions!$C$10)*NORMSDIST(-((LN(3000/Assumptions!$C$7)+(Assumptions!$C$9-Assumptions!$C$11+Assumptions!$C$8^2/2)*Assumptions!$C$10)/(Assumptions!$C$8*SQRT(Assumptions!$C$10))))</f>
        <v>8.472908916987</v>
      </c>
    </row>
    <row r="37" customFormat="false" ht="15" hidden="false" customHeight="true" outlineLevel="0" collapsed="false">
      <c r="B37" s="96" t="n">
        <v>3050</v>
      </c>
      <c r="C37" s="109" t="str">
        <f aca="false">IF(3050&gt;=Assumptions!$C$7*1.05,"ITM",IF(3050&lt;=Assumptions!$C$7*0.95,"OTM","ATM"))</f>
        <v>ITM</v>
      </c>
      <c r="D37" s="110" t="n">
        <f aca="false">NORMSDIST((LN(3050/Assumptions!$C$7)+(Assumptions!$C$9-Assumptions!$C$11+Assumptions!$C$8^2/2)*Assumptions!$C$10)/(Assumptions!$C$8*SQRT(Assumptions!$C$10)))</f>
        <v>0.961075626371857</v>
      </c>
      <c r="E37" s="111" t="n">
        <f aca="false">NORMSDIST((LN(3050/Assumptions!$C$7)+(Assumptions!$C$9-Assumptions!$C$11+Assumptions!$C$8^2/2)*Assumptions!$C$10)/(Assumptions!$C$8*SQRT(Assumptions!$C$10)))-1</f>
        <v>-0.0389243736281431</v>
      </c>
      <c r="F37" s="112" t="n">
        <f aca="false">NORMDIST((LN(3050/Assumptions!$C$7)+(Assumptions!$C$9-Assumptions!$C$11+Assumptions!$C$8^2/2)*Assumptions!$C$10)/(Assumptions!$C$8*SQRT(Assumptions!$C$10)),0,1,FALSE())/(3050*Assumptions!$C$8*SQRT(Assumptions!$C$10))</f>
        <v>0.000221072596386135</v>
      </c>
      <c r="G37" s="113" t="n">
        <f aca="false">3050*NORMDIST((LN(3050/Assumptions!$C$7)+(Assumptions!$C$9-Assumptions!$C$11+Assumptions!$C$8^2/2)*Assumptions!$C$10)/(Assumptions!$C$8*SQRT(Assumptions!$C$10)),0,1,FALSE())*SQRT(Assumptions!$C$10)/100</f>
        <v>1.28532989242627</v>
      </c>
      <c r="H37" s="110" t="n">
        <f aca="false">(-((3050*NORMDIST((LN(3050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(3050/Assumptions!$C$7)+(Assumptions!$C$9-Assumptions!$C$11+Assumptions!$C$8^2/2)*Assumptions!$C$10)/(Assumptions!$C$8*SQRT(Assumptions!$C$10)))-Assumptions!$C$8*SQRT(Assumptions!$C$10)))/365</f>
        <v>-0.52880993349413</v>
      </c>
      <c r="I37" s="111" t="n">
        <f aca="false">(-((3050*NORMDIST((LN(3050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(3050/Assumptions!$C$7)+(Assumptions!$C$9-Assumptions!$C$11+Assumptions!$C$8^2/2)*Assumptions!$C$10)/(Assumptions!$C$8*SQRT(Assumptions!$C$10)))-Assumptions!$C$8*SQRT(Assumptions!$C$10))))/365</f>
        <v>-0.157241950818189</v>
      </c>
      <c r="J37" s="110" t="n">
        <f aca="false">Assumptions!$C$7*Assumptions!$C$10*EXP(-Assumptions!$C$9*Assumptions!$C$10)*NORMSDIST(((LN(3050/Assumptions!$C$7)+(Assumptions!$C$9-Assumptions!$C$11+Assumptions!$C$8^2/2)*Assumptions!$C$10)/(Assumptions!$C$8*SQRT(Assumptions!$C$10)))-Assumptions!$C$8*SQRT(Assumptions!$C$10))*0.01</f>
        <v>5.83762092192018</v>
      </c>
      <c r="K37" s="111" t="n">
        <f aca="false">-Assumptions!$C$7*Assumptions!$C$10*EXP(-Assumptions!$C$9*Assumptions!$C$10)*NORMSDIST(-(((LN(3050/Assumptions!$C$7)+(Assumptions!$C$9-Assumptions!$C$11+Assumptions!$C$8^2/2)*Assumptions!$C$10)/(Assumptions!$C$8*SQRT(Assumptions!$C$10)))-Assumptions!$C$8*SQRT(Assumptions!$C$10)))*0.01</f>
        <v>-0.311637321684116</v>
      </c>
      <c r="L37" s="114" t="n">
        <f aca="false">3050*EXP(-Assumptions!$C$11*Assumptions!$C$10)*NORMSDIST((LN(3050/Assumptions!$C$7)+(Assumptions!$C$9-Assumptions!$C$11+Assumptions!$C$8^2/2)*Assumptions!$C$10)/(Assumptions!$C$8*SQRT(Assumptions!$C$10)))-Assumptions!$C$7*EXP(-Assumptions!$C$9*Assumptions!$C$10)*NORMSDIST(((LN(3050/Assumptions!$C$7)+(Assumptions!$C$9-Assumptions!$C$11+Assumptions!$C$8^2/2)*Assumptions!$C$10)/(Assumptions!$C$8*SQRT(Assumptions!$C$10)))-Assumptions!$C$8*SQRT(Assumptions!$C$10))</f>
        <v>588.913242638295</v>
      </c>
      <c r="M37" s="115" t="n">
        <f aca="false">Assumptions!$C$7*EXP(-Assumptions!$C$9*Assumptions!$C$10)*NORMSDIST(-(((LN(3050/Assumptions!$C$7)+(Assumptions!$C$9-Assumptions!$C$11+Assumptions!$C$8^2/2)*Assumptions!$C$10)/(Assumptions!$C$8*SQRT(Assumptions!$C$10)))-Assumptions!$C$8*SQRT(Assumptions!$C$10)))-3050*EXP(-Assumptions!$C$11*Assumptions!$C$10)*NORMSDIST(-((LN(3050/Assumptions!$C$7)+(Assumptions!$C$9-Assumptions!$C$11+Assumptions!$C$8^2/2)*Assumptions!$C$10)/(Assumptions!$C$8*SQRT(Assumptions!$C$10))))</f>
        <v>6.2320167677601</v>
      </c>
    </row>
    <row r="38" customFormat="false" ht="15" hidden="false" customHeight="true" outlineLevel="0" collapsed="false">
      <c r="B38" s="93" t="n">
        <v>3100</v>
      </c>
      <c r="C38" s="102" t="str">
        <f aca="false">IF(3100&gt;=Assumptions!$C$7*1.05,"ITM",IF(3100&lt;=Assumptions!$C$7*0.95,"OTM","ATM"))</f>
        <v>ITM</v>
      </c>
      <c r="D38" s="103" t="n">
        <f aca="false">NORMSDIST((LN(3100/Assumptions!$C$7)+(Assumptions!$C$9-Assumptions!$C$11+Assumptions!$C$8^2/2)*Assumptions!$C$10)/(Assumptions!$C$8*SQRT(Assumptions!$C$10)))</f>
        <v>0.970847056748598</v>
      </c>
      <c r="E38" s="104" t="n">
        <f aca="false">NORMSDIST((LN(3100/Assumptions!$C$7)+(Assumptions!$C$9-Assumptions!$C$11+Assumptions!$C$8^2/2)*Assumptions!$C$10)/(Assumptions!$C$8*SQRT(Assumptions!$C$10)))-1</f>
        <v>-0.0291529432514023</v>
      </c>
      <c r="F38" s="105" t="n">
        <f aca="false">NORMDIST((LN(3100/Assumptions!$C$7)+(Assumptions!$C$9-Assumptions!$C$11+Assumptions!$C$8^2/2)*Assumptions!$C$10)/(Assumptions!$C$8*SQRT(Assumptions!$C$10)),0,1,FALSE())/(3100*Assumptions!$C$8*SQRT(Assumptions!$C$10))</f>
        <v>0.000171467092305235</v>
      </c>
      <c r="G38" s="106" t="n">
        <f aca="false">3100*NORMDIST((LN(3100/Assumptions!$C$7)+(Assumptions!$C$9-Assumptions!$C$11+Assumptions!$C$8^2/2)*Assumptions!$C$10)/(Assumptions!$C$8*SQRT(Assumptions!$C$10)),0,1,FALSE())*SQRT(Assumptions!$C$10)/100</f>
        <v>1.02987422315832</v>
      </c>
      <c r="H38" s="103" t="n">
        <f aca="false">(-((3100*NORMDIST((LN(3100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(3100/Assumptions!$C$7)+(Assumptions!$C$9-Assumptions!$C$11+Assumptions!$C$8^2/2)*Assumptions!$C$10)/(Assumptions!$C$8*SQRT(Assumptions!$C$10)))-Assumptions!$C$8*SQRT(Assumptions!$C$10)))/365</f>
        <v>-0.498342102054333</v>
      </c>
      <c r="I38" s="104" t="n">
        <f aca="false">(-((3100*NORMDIST((LN(3100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(3100/Assumptions!$C$7)+(Assumptions!$C$9-Assumptions!$C$11+Assumptions!$C$8^2/2)*Assumptions!$C$10)/(Assumptions!$C$8*SQRT(Assumptions!$C$10)))-Assumptions!$C$8*SQRT(Assumptions!$C$10))))/365</f>
        <v>-0.126774119378392</v>
      </c>
      <c r="J38" s="103" t="n">
        <f aca="false">Assumptions!$C$7*Assumptions!$C$10*EXP(-Assumptions!$C$9*Assumptions!$C$10)*NORMSDIST(((LN(3100/Assumptions!$C$7)+(Assumptions!$C$9-Assumptions!$C$11+Assumptions!$C$8^2/2)*Assumptions!$C$10)/(Assumptions!$C$8*SQRT(Assumptions!$C$10)))-Assumptions!$C$8*SQRT(Assumptions!$C$10))*0.01</f>
        <v>5.91252547117838</v>
      </c>
      <c r="K38" s="104" t="n">
        <f aca="false">-Assumptions!$C$7*Assumptions!$C$10*EXP(-Assumptions!$C$9*Assumptions!$C$10)*NORMSDIST(-(((LN(3100/Assumptions!$C$7)+(Assumptions!$C$9-Assumptions!$C$11+Assumptions!$C$8^2/2)*Assumptions!$C$10)/(Assumptions!$C$8*SQRT(Assumptions!$C$10)))-Assumptions!$C$8*SQRT(Assumptions!$C$10)))*0.01</f>
        <v>-0.236732772425912</v>
      </c>
      <c r="L38" s="107" t="n">
        <f aca="false">3100*EXP(-Assumptions!$C$11*Assumptions!$C$10)*NORMSDIST((LN(3100/Assumptions!$C$7)+(Assumptions!$C$9-Assumptions!$C$11+Assumptions!$C$8^2/2)*Assumptions!$C$10)/(Assumptions!$C$8*SQRT(Assumptions!$C$10)))-Assumptions!$C$7*EXP(-Assumptions!$C$9*Assumptions!$C$10)*NORMSDIST(((LN(3100/Assumptions!$C$7)+(Assumptions!$C$9-Assumptions!$C$11+Assumptions!$C$8^2/2)*Assumptions!$C$10)/(Assumptions!$C$8*SQRT(Assumptions!$C$10)))-Assumptions!$C$8*SQRT(Assumptions!$C$10))</f>
        <v>637.101020007689</v>
      </c>
      <c r="M38" s="108" t="n">
        <f aca="false">Assumptions!$C$7*EXP(-Assumptions!$C$9*Assumptions!$C$10)*NORMSDIST(-(((LN(3100/Assumptions!$C$7)+(Assumptions!$C$9-Assumptions!$C$11+Assumptions!$C$8^2/2)*Assumptions!$C$10)/(Assumptions!$C$8*SQRT(Assumptions!$C$10)))-Assumptions!$C$8*SQRT(Assumptions!$C$10)))-3100*EXP(-Assumptions!$C$11*Assumptions!$C$10)*NORMSDIST(-((LN(3100/Assumptions!$C$7)+(Assumptions!$C$9-Assumptions!$C$11+Assumptions!$C$8^2/2)*Assumptions!$C$10)/(Assumptions!$C$8*SQRT(Assumptions!$C$10))))</f>
        <v>4.5446380172807</v>
      </c>
    </row>
    <row r="39" customFormat="false" ht="15" hidden="false" customHeight="true" outlineLevel="0" collapsed="false">
      <c r="B39" s="96" t="n">
        <v>3150</v>
      </c>
      <c r="C39" s="109" t="str">
        <f aca="false">IF(3150&gt;=Assumptions!$C$7*1.05,"ITM",IF(3150&lt;=Assumptions!$C$7*0.95,"OTM","ATM"))</f>
        <v>ITM</v>
      </c>
      <c r="D39" s="110" t="n">
        <f aca="false">NORMSDIST((LN(3150/Assumptions!$C$7)+(Assumptions!$C$9-Assumptions!$C$11+Assumptions!$C$8^2/2)*Assumptions!$C$10)/(Assumptions!$C$8*SQRT(Assumptions!$C$10)))</f>
        <v>0.978380490325703</v>
      </c>
      <c r="E39" s="111" t="n">
        <f aca="false">NORMSDIST((LN(3150/Assumptions!$C$7)+(Assumptions!$C$9-Assumptions!$C$11+Assumptions!$C$8^2/2)*Assumptions!$C$10)/(Assumptions!$C$8*SQRT(Assumptions!$C$10)))-1</f>
        <v>-0.0216195096742967</v>
      </c>
      <c r="F39" s="112" t="n">
        <f aca="false">NORMDIST((LN(3150/Assumptions!$C$7)+(Assumptions!$C$9-Assumptions!$C$11+Assumptions!$C$8^2/2)*Assumptions!$C$10)/(Assumptions!$C$8*SQRT(Assumptions!$C$10)),0,1,FALSE())/(3150*Assumptions!$C$8*SQRT(Assumptions!$C$10))</f>
        <v>0.000131346576594125</v>
      </c>
      <c r="G39" s="113" t="n">
        <f aca="false">3150*NORMDIST((LN(3150/Assumptions!$C$7)+(Assumptions!$C$9-Assumptions!$C$11+Assumptions!$C$8^2/2)*Assumptions!$C$10)/(Assumptions!$C$8*SQRT(Assumptions!$C$10)),0,1,FALSE())*SQRT(Assumptions!$C$10)/100</f>
        <v>0.814554003909504</v>
      </c>
      <c r="H39" s="110" t="n">
        <f aca="false">(-((3150*NORMDIST((LN(3150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(3150/Assumptions!$C$7)+(Assumptions!$C$9-Assumptions!$C$11+Assumptions!$C$8^2/2)*Assumptions!$C$10)/(Assumptions!$C$8*SQRT(Assumptions!$C$10)))-Assumptions!$C$8*SQRT(Assumptions!$C$10)))/365</f>
        <v>-0.472392344426633</v>
      </c>
      <c r="I39" s="111" t="n">
        <f aca="false">(-((3150*NORMDIST((LN(3150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(3150/Assumptions!$C$7)+(Assumptions!$C$9-Assumptions!$C$11+Assumptions!$C$8^2/2)*Assumptions!$C$10)/(Assumptions!$C$8*SQRT(Assumptions!$C$10)))-Assumptions!$C$8*SQRT(Assumptions!$C$10))))/365</f>
        <v>-0.100824361750692</v>
      </c>
      <c r="J39" s="110" t="n">
        <f aca="false">Assumptions!$C$7*Assumptions!$C$10*EXP(-Assumptions!$C$9*Assumptions!$C$10)*NORMSDIST(((LN(3150/Assumptions!$C$7)+(Assumptions!$C$9-Assumptions!$C$11+Assumptions!$C$8^2/2)*Assumptions!$C$10)/(Assumptions!$C$8*SQRT(Assumptions!$C$10)))-Assumptions!$C$8*SQRT(Assumptions!$C$10))*0.01</f>
        <v>5.97121263464352</v>
      </c>
      <c r="K39" s="111" t="n">
        <f aca="false">-Assumptions!$C$7*Assumptions!$C$10*EXP(-Assumptions!$C$9*Assumptions!$C$10)*NORMSDIST(-(((LN(3150/Assumptions!$C$7)+(Assumptions!$C$9-Assumptions!$C$11+Assumptions!$C$8^2/2)*Assumptions!$C$10)/(Assumptions!$C$8*SQRT(Assumptions!$C$10)))-Assumptions!$C$8*SQRT(Assumptions!$C$10)))*0.01</f>
        <v>-0.178045608960781</v>
      </c>
      <c r="L39" s="114" t="n">
        <f aca="false">3150*EXP(-Assumptions!$C$11*Assumptions!$C$10)*NORMSDIST((LN(3150/Assumptions!$C$7)+(Assumptions!$C$9-Assumptions!$C$11+Assumptions!$C$8^2/2)*Assumptions!$C$10)/(Assumptions!$C$8*SQRT(Assumptions!$C$10)))-Assumptions!$C$7*EXP(-Assumptions!$C$9*Assumptions!$C$10)*NORMSDIST(((LN(3150/Assumptions!$C$7)+(Assumptions!$C$9-Assumptions!$C$11+Assumptions!$C$8^2/2)*Assumptions!$C$10)/(Assumptions!$C$8*SQRT(Assumptions!$C$10)))-Assumptions!$C$8*SQRT(Assumptions!$C$10))</f>
        <v>685.718367219432</v>
      </c>
      <c r="M39" s="115" t="n">
        <f aca="false">Assumptions!$C$7*EXP(-Assumptions!$C$9*Assumptions!$C$10)*NORMSDIST(-(((LN(3150/Assumptions!$C$7)+(Assumptions!$C$9-Assumptions!$C$11+Assumptions!$C$8^2/2)*Assumptions!$C$10)/(Assumptions!$C$8*SQRT(Assumptions!$C$10)))-Assumptions!$C$8*SQRT(Assumptions!$C$10)))-3150*EXP(-Assumptions!$C$11*Assumptions!$C$10)*NORMSDIST(-((LN(3150/Assumptions!$C$7)+(Assumptions!$C$9-Assumptions!$C$11+Assumptions!$C$8^2/2)*Assumptions!$C$10)/(Assumptions!$C$8*SQRT(Assumptions!$C$10))))</f>
        <v>3.28682910915146</v>
      </c>
    </row>
    <row r="40" customFormat="false" ht="15" hidden="false" customHeight="true" outlineLevel="0" collapsed="false">
      <c r="B40" s="93" t="n">
        <v>3200</v>
      </c>
      <c r="C40" s="102" t="str">
        <f aca="false">IF(3200&gt;=Assumptions!$C$7*1.05,"ITM",IF(3200&lt;=Assumptions!$C$7*0.95,"OTM","ATM"))</f>
        <v>ITM</v>
      </c>
      <c r="D40" s="103" t="n">
        <f aca="false">NORMSDIST((LN(3200/Assumptions!$C$7)+(Assumptions!$C$9-Assumptions!$C$11+Assumptions!$C$8^2/2)*Assumptions!$C$10)/(Assumptions!$C$8*SQRT(Assumptions!$C$10)))</f>
        <v>0.984118504018123</v>
      </c>
      <c r="E40" s="104" t="n">
        <f aca="false">NORMSDIST((LN(3200/Assumptions!$C$7)+(Assumptions!$C$9-Assumptions!$C$11+Assumptions!$C$8^2/2)*Assumptions!$C$10)/(Assumptions!$C$8*SQRT(Assumptions!$C$10)))-1</f>
        <v>-0.0158814959818773</v>
      </c>
      <c r="F40" s="105" t="n">
        <f aca="false">NORMDIST((LN(3200/Assumptions!$C$7)+(Assumptions!$C$9-Assumptions!$C$11+Assumptions!$C$8^2/2)*Assumptions!$C$10)/(Assumptions!$C$8*SQRT(Assumptions!$C$10)),0,1,FALSE())/(3200*Assumptions!$C$8*SQRT(Assumptions!$C$10))</f>
        <v>9.9433164675654E-005</v>
      </c>
      <c r="G40" s="106" t="n">
        <f aca="false">3200*NORMDIST((LN(3200/Assumptions!$C$7)+(Assumptions!$C$9-Assumptions!$C$11+Assumptions!$C$8^2/2)*Assumptions!$C$10)/(Assumptions!$C$8*SQRT(Assumptions!$C$10)),0,1,FALSE())*SQRT(Assumptions!$C$10)/100</f>
        <v>0.636372253924185</v>
      </c>
      <c r="H40" s="103" t="n">
        <f aca="false">(-((3200*NORMDIST((LN(3200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(3200/Assumptions!$C$7)+(Assumptions!$C$9-Assumptions!$C$11+Assumptions!$C$8^2/2)*Assumptions!$C$10)/(Assumptions!$C$8*SQRT(Assumptions!$C$10)))-Assumptions!$C$8*SQRT(Assumptions!$C$10)))/365</f>
        <v>-0.450728091592169</v>
      </c>
      <c r="I40" s="104" t="n">
        <f aca="false">(-((3200*NORMDIST((LN(3200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(3200/Assumptions!$C$7)+(Assumptions!$C$9-Assumptions!$C$11+Assumptions!$C$8^2/2)*Assumptions!$C$10)/(Assumptions!$C$8*SQRT(Assumptions!$C$10)))-Assumptions!$C$8*SQRT(Assumptions!$C$10))))/365</f>
        <v>-0.0791601089162273</v>
      </c>
      <c r="J40" s="103" t="n">
        <f aca="false">Assumptions!$C$7*Assumptions!$C$10*EXP(-Assumptions!$C$9*Assumptions!$C$10)*NORMSDIST(((LN(3200/Assumptions!$C$7)+(Assumptions!$C$9-Assumptions!$C$11+Assumptions!$C$8^2/2)*Assumptions!$C$10)/(Assumptions!$C$8*SQRT(Assumptions!$C$10)))-Assumptions!$C$8*SQRT(Assumptions!$C$10))*0.01</f>
        <v>6.0166278280141</v>
      </c>
      <c r="K40" s="104" t="n">
        <f aca="false">-Assumptions!$C$7*Assumptions!$C$10*EXP(-Assumptions!$C$9*Assumptions!$C$10)*NORMSDIST(-(((LN(3200/Assumptions!$C$7)+(Assumptions!$C$9-Assumptions!$C$11+Assumptions!$C$8^2/2)*Assumptions!$C$10)/(Assumptions!$C$8*SQRT(Assumptions!$C$10)))-Assumptions!$C$8*SQRT(Assumptions!$C$10)))*0.01</f>
        <v>-0.1326304155902</v>
      </c>
      <c r="L40" s="107" t="n">
        <f aca="false">3200*EXP(-Assumptions!$C$11*Assumptions!$C$10)*NORMSDIST((LN(3200/Assumptions!$C$7)+(Assumptions!$C$9-Assumptions!$C$11+Assumptions!$C$8^2/2)*Assumptions!$C$10)/(Assumptions!$C$8*SQRT(Assumptions!$C$10)))-Assumptions!$C$7*EXP(-Assumptions!$C$9*Assumptions!$C$10)*NORMSDIST(((LN(3200/Assumptions!$C$7)+(Assumptions!$C$9-Assumptions!$C$11+Assumptions!$C$8^2/2)*Assumptions!$C$10)/(Assumptions!$C$8*SQRT(Assumptions!$C$10)))-Assumptions!$C$8*SQRT(Assumptions!$C$10))</f>
        <v>734.664966609385</v>
      </c>
      <c r="M40" s="108" t="n">
        <f aca="false">Assumptions!$C$7*EXP(-Assumptions!$C$9*Assumptions!$C$10)*NORMSDIST(-(((LN(3200/Assumptions!$C$7)+(Assumptions!$C$9-Assumptions!$C$11+Assumptions!$C$8^2/2)*Assumptions!$C$10)/(Assumptions!$C$8*SQRT(Assumptions!$C$10)))-Assumptions!$C$8*SQRT(Assumptions!$C$10)))-3200*EXP(-Assumptions!$C$11*Assumptions!$C$10)*NORMSDIST(-((LN(3200/Assumptions!$C$7)+(Assumptions!$C$9-Assumptions!$C$11+Assumptions!$C$8^2/2)*Assumptions!$C$10)/(Assumptions!$C$8*SQRT(Assumptions!$C$10))))</f>
        <v>2.3582723792311</v>
      </c>
    </row>
    <row r="41" customFormat="false" ht="15" hidden="false" customHeight="true" outlineLevel="0" collapsed="false">
      <c r="B41" s="96" t="n">
        <v>3250</v>
      </c>
      <c r="C41" s="109" t="str">
        <f aca="false">IF(3250&gt;=Assumptions!$C$7*1.05,"ITM",IF(3250&lt;=Assumptions!$C$7*0.95,"OTM","ATM"))</f>
        <v>ITM</v>
      </c>
      <c r="D41" s="110" t="n">
        <f aca="false">NORMSDIST((LN(3250/Assumptions!$C$7)+(Assumptions!$C$9-Assumptions!$C$11+Assumptions!$C$8^2/2)*Assumptions!$C$10)/(Assumptions!$C$8*SQRT(Assumptions!$C$10)))</f>
        <v>0.988439039653629</v>
      </c>
      <c r="E41" s="111" t="n">
        <f aca="false">NORMSDIST((LN(3250/Assumptions!$C$7)+(Assumptions!$C$9-Assumptions!$C$11+Assumptions!$C$8^2/2)*Assumptions!$C$10)/(Assumptions!$C$8*SQRT(Assumptions!$C$10)))-1</f>
        <v>-0.0115609603463714</v>
      </c>
      <c r="F41" s="112" t="n">
        <f aca="false">NORMDIST((LN(3250/Assumptions!$C$7)+(Assumptions!$C$9-Assumptions!$C$11+Assumptions!$C$8^2/2)*Assumptions!$C$10)/(Assumptions!$C$8*SQRT(Assumptions!$C$10)),0,1,FALSE())/(3250*Assumptions!$C$8*SQRT(Assumptions!$C$10))</f>
        <v>7.44361900163971E-005</v>
      </c>
      <c r="G41" s="113" t="n">
        <f aca="false">3250*NORMDIST((LN(3250/Assumptions!$C$7)+(Assumptions!$C$9-Assumptions!$C$11+Assumptions!$C$8^2/2)*Assumptions!$C$10)/(Assumptions!$C$8*SQRT(Assumptions!$C$10)),0,1,FALSE())*SQRT(Assumptions!$C$10)/100</f>
        <v>0.491395160655122</v>
      </c>
      <c r="H41" s="110" t="n">
        <f aca="false">(-((3250*NORMDIST((LN(3250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(3250/Assumptions!$C$7)+(Assumptions!$C$9-Assumptions!$C$11+Assumptions!$C$8^2/2)*Assumptions!$C$10)/(Assumptions!$C$8*SQRT(Assumptions!$C$10)))-Assumptions!$C$8*SQRT(Assumptions!$C$10)))/365</f>
        <v>-0.432967034483496</v>
      </c>
      <c r="I41" s="111" t="n">
        <f aca="false">(-((3250*NORMDIST((LN(3250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(3250/Assumptions!$C$7)+(Assumptions!$C$9-Assumptions!$C$11+Assumptions!$C$8^2/2)*Assumptions!$C$10)/(Assumptions!$C$8*SQRT(Assumptions!$C$10)))-Assumptions!$C$8*SQRT(Assumptions!$C$10))))/365</f>
        <v>-0.0613990518075544</v>
      </c>
      <c r="J41" s="110" t="n">
        <f aca="false">Assumptions!$C$7*Assumptions!$C$10*EXP(-Assumptions!$C$9*Assumptions!$C$10)*NORMSDIST(((LN(3250/Assumptions!$C$7)+(Assumptions!$C$9-Assumptions!$C$11+Assumptions!$C$8^2/2)*Assumptions!$C$10)/(Assumptions!$C$8*SQRT(Assumptions!$C$10)))-Assumptions!$C$8*SQRT(Assumptions!$C$10))*0.01</f>
        <v>6.05136219341009</v>
      </c>
      <c r="K41" s="111" t="n">
        <f aca="false">-Assumptions!$C$7*Assumptions!$C$10*EXP(-Assumptions!$C$9*Assumptions!$C$10)*NORMSDIST(-(((LN(3250/Assumptions!$C$7)+(Assumptions!$C$9-Assumptions!$C$11+Assumptions!$C$8^2/2)*Assumptions!$C$10)/(Assumptions!$C$8*SQRT(Assumptions!$C$10)))-Assumptions!$C$8*SQRT(Assumptions!$C$10)))*0.01</f>
        <v>-0.0978960501942024</v>
      </c>
      <c r="L41" s="114" t="n">
        <f aca="false">3250*EXP(-Assumptions!$C$11*Assumptions!$C$10)*NORMSDIST((LN(3250/Assumptions!$C$7)+(Assumptions!$C$9-Assumptions!$C$11+Assumptions!$C$8^2/2)*Assumptions!$C$10)/(Assumptions!$C$8*SQRT(Assumptions!$C$10)))-Assumptions!$C$7*EXP(-Assumptions!$C$9*Assumptions!$C$10)*NORMSDIST(((LN(3250/Assumptions!$C$7)+(Assumptions!$C$9-Assumptions!$C$11+Assumptions!$C$8^2/2)*Assumptions!$C$10)/(Assumptions!$C$8*SQRT(Assumptions!$C$10)))-Assumptions!$C$8*SQRT(Assumptions!$C$10))</f>
        <v>783.860964786597</v>
      </c>
      <c r="M41" s="115" t="n">
        <f aca="false">Assumptions!$C$7*EXP(-Assumptions!$C$9*Assumptions!$C$10)*NORMSDIST(-(((LN(3250/Assumptions!$C$7)+(Assumptions!$C$9-Assumptions!$C$11+Assumptions!$C$8^2/2)*Assumptions!$C$10)/(Assumptions!$C$8*SQRT(Assumptions!$C$10)))-Assumptions!$C$8*SQRT(Assumptions!$C$10)))-3250*EXP(-Assumptions!$C$11*Assumptions!$C$10)*NORMSDIST(-((LN(3250/Assumptions!$C$7)+(Assumptions!$C$9-Assumptions!$C$11+Assumptions!$C$8^2/2)*Assumptions!$C$10)/(Assumptions!$C$8*SQRT(Assumptions!$C$10))))</f>
        <v>1.67911443657006</v>
      </c>
    </row>
    <row r="42" customFormat="false" ht="15" hidden="false" customHeight="true" outlineLevel="0" collapsed="false">
      <c r="B42" s="93" t="n">
        <v>3300</v>
      </c>
      <c r="C42" s="102" t="str">
        <f aca="false">IF(3300&gt;=Assumptions!$C$7*1.05,"ITM",IF(3300&lt;=Assumptions!$C$7*0.95,"OTM","ATM"))</f>
        <v>ITM</v>
      </c>
      <c r="D42" s="103" t="n">
        <f aca="false">NORMSDIST((LN(3300/Assumptions!$C$7)+(Assumptions!$C$9-Assumptions!$C$11+Assumptions!$C$8^2/2)*Assumptions!$C$10)/(Assumptions!$C$8*SQRT(Assumptions!$C$10)))</f>
        <v>0.991656985109684</v>
      </c>
      <c r="E42" s="104" t="n">
        <f aca="false">NORMSDIST((LN(3300/Assumptions!$C$7)+(Assumptions!$C$9-Assumptions!$C$11+Assumptions!$C$8^2/2)*Assumptions!$C$10)/(Assumptions!$C$8*SQRT(Assumptions!$C$10)))-1</f>
        <v>-0.00834301489031597</v>
      </c>
      <c r="F42" s="105" t="n">
        <f aca="false">NORMDIST((LN(3300/Assumptions!$C$7)+(Assumptions!$C$9-Assumptions!$C$11+Assumptions!$C$8^2/2)*Assumptions!$C$10)/(Assumptions!$C$8*SQRT(Assumptions!$C$10)),0,1,FALSE())/(3300*Assumptions!$C$8*SQRT(Assumptions!$C$10))</f>
        <v>5.51350538635113E-005</v>
      </c>
      <c r="G42" s="106" t="n">
        <f aca="false">3300*NORMDIST((LN(3300/Assumptions!$C$7)+(Assumptions!$C$9-Assumptions!$C$11+Assumptions!$C$8^2/2)*Assumptions!$C$10)/(Assumptions!$C$8*SQRT(Assumptions!$C$10)),0,1,FALSE())*SQRT(Assumptions!$C$10)/100</f>
        <v>0.375262960358524</v>
      </c>
      <c r="H42" s="103" t="n">
        <f aca="false">(-((3300*NORMDIST((LN(3300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(3300/Assumptions!$C$7)+(Assumptions!$C$9-Assumptions!$C$11+Assumptions!$C$8^2/2)*Assumptions!$C$10)/(Assumptions!$C$8*SQRT(Assumptions!$C$10)))-Assumptions!$C$8*SQRT(Assumptions!$C$10)))/365</f>
        <v>-0.418645942599089</v>
      </c>
      <c r="I42" s="104" t="n">
        <f aca="false">(-((3300*NORMDIST((LN(3300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(3300/Assumptions!$C$7)+(Assumptions!$C$9-Assumptions!$C$11+Assumptions!$C$8^2/2)*Assumptions!$C$10)/(Assumptions!$C$8*SQRT(Assumptions!$C$10)))-Assumptions!$C$8*SQRT(Assumptions!$C$10))))/365</f>
        <v>-0.0470779599231479</v>
      </c>
      <c r="J42" s="103" t="n">
        <f aca="false">Assumptions!$C$7*Assumptions!$C$10*EXP(-Assumptions!$C$9*Assumptions!$C$10)*NORMSDIST(((LN(3300/Assumptions!$C$7)+(Assumptions!$C$9-Assumptions!$C$11+Assumptions!$C$8^2/2)*Assumptions!$C$10)/(Assumptions!$C$8*SQRT(Assumptions!$C$10)))-Assumptions!$C$8*SQRT(Assumptions!$C$10))*0.01</f>
        <v>6.07763331875018</v>
      </c>
      <c r="K42" s="104" t="n">
        <f aca="false">-Assumptions!$C$7*Assumptions!$C$10*EXP(-Assumptions!$C$9*Assumptions!$C$10)*NORMSDIST(-(((LN(3300/Assumptions!$C$7)+(Assumptions!$C$9-Assumptions!$C$11+Assumptions!$C$8^2/2)*Assumptions!$C$10)/(Assumptions!$C$8*SQRT(Assumptions!$C$10)))-Assumptions!$C$8*SQRT(Assumptions!$C$10)))*0.01</f>
        <v>-0.0716249248541155</v>
      </c>
      <c r="L42" s="107" t="n">
        <f aca="false">3300*EXP(-Assumptions!$C$11*Assumptions!$C$10)*NORMSDIST((LN(3300/Assumptions!$C$7)+(Assumptions!$C$9-Assumptions!$C$11+Assumptions!$C$8^2/2)*Assumptions!$C$10)/(Assumptions!$C$8*SQRT(Assumptions!$C$10)))-Assumptions!$C$7*EXP(-Assumptions!$C$9*Assumptions!$C$10)*NORMSDIST(((LN(3300/Assumptions!$C$7)+(Assumptions!$C$9-Assumptions!$C$11+Assumptions!$C$8^2/2)*Assumptions!$C$10)/(Assumptions!$C$8*SQRT(Assumptions!$C$10)))-Assumptions!$C$8*SQRT(Assumptions!$C$10))</f>
        <v>833.243771180661</v>
      </c>
      <c r="M42" s="108" t="n">
        <f aca="false">Assumptions!$C$7*EXP(-Assumptions!$C$9*Assumptions!$C$10)*NORMSDIST(-(((LN(3300/Assumptions!$C$7)+(Assumptions!$C$9-Assumptions!$C$11+Assumptions!$C$8^2/2)*Assumptions!$C$10)/(Assumptions!$C$8*SQRT(Assumptions!$C$10)))-Assumptions!$C$8*SQRT(Assumptions!$C$10)))-3300*EXP(-Assumptions!$C$11*Assumptions!$C$10)*NORMSDIST(-((LN(3300/Assumptions!$C$7)+(Assumptions!$C$9-Assumptions!$C$11+Assumptions!$C$8^2/2)*Assumptions!$C$10)/(Assumptions!$C$8*SQRT(Assumptions!$C$10))))</f>
        <v>1.18676471076046</v>
      </c>
    </row>
    <row r="43" customFormat="false" ht="15" hidden="false" customHeight="true" outlineLevel="0" collapsed="false">
      <c r="B43" s="96" t="n">
        <v>3350</v>
      </c>
      <c r="C43" s="109" t="str">
        <f aca="false">IF(3350&gt;=Assumptions!$C$7*1.05,"ITM",IF(3350&lt;=Assumptions!$C$7*0.95,"OTM","ATM"))</f>
        <v>ITM</v>
      </c>
      <c r="D43" s="110" t="n">
        <f aca="false">NORMSDIST((LN(3350/Assumptions!$C$7)+(Assumptions!$C$9-Assumptions!$C$11+Assumptions!$C$8^2/2)*Assumptions!$C$10)/(Assumptions!$C$8*SQRT(Assumptions!$C$10)))</f>
        <v>0.994029056277291</v>
      </c>
      <c r="E43" s="111" t="n">
        <f aca="false">NORMSDIST((LN(3350/Assumptions!$C$7)+(Assumptions!$C$9-Assumptions!$C$11+Assumptions!$C$8^2/2)*Assumptions!$C$10)/(Assumptions!$C$8*SQRT(Assumptions!$C$10)))-1</f>
        <v>-0.00597094372270923</v>
      </c>
      <c r="F43" s="112" t="n">
        <f aca="false">NORMDIST((LN(3350/Assumptions!$C$7)+(Assumptions!$C$9-Assumptions!$C$11+Assumptions!$C$8^2/2)*Assumptions!$C$10)/(Assumptions!$C$8*SQRT(Assumptions!$C$10)),0,1,FALSE())/(3350*Assumptions!$C$8*SQRT(Assumptions!$C$10))</f>
        <v>4.0429497527369E-005</v>
      </c>
      <c r="G43" s="113" t="n">
        <f aca="false">3350*NORMDIST((LN(3350/Assumptions!$C$7)+(Assumptions!$C$9-Assumptions!$C$11+Assumptions!$C$8^2/2)*Assumptions!$C$10)/(Assumptions!$C$8*SQRT(Assumptions!$C$10)),0,1,FALSE())*SQRT(Assumptions!$C$10)/100</f>
        <v>0.283575022500562</v>
      </c>
      <c r="H43" s="110" t="n">
        <f aca="false">(-((3350*NORMDIST((LN(3350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(3350/Assumptions!$C$7)+(Assumptions!$C$9-Assumptions!$C$11+Assumptions!$C$8^2/2)*Assumptions!$C$10)/(Assumptions!$C$8*SQRT(Assumptions!$C$10)))-Assumptions!$C$8*SQRT(Assumptions!$C$10)))/365</f>
        <v>-0.407273962607994</v>
      </c>
      <c r="I43" s="111" t="n">
        <f aca="false">(-((3350*NORMDIST((LN(3350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(3350/Assumptions!$C$7)+(Assumptions!$C$9-Assumptions!$C$11+Assumptions!$C$8^2/2)*Assumptions!$C$10)/(Assumptions!$C$8*SQRT(Assumptions!$C$10)))-Assumptions!$C$8*SQRT(Assumptions!$C$10))))/365</f>
        <v>-0.0357059799320525</v>
      </c>
      <c r="J43" s="110" t="n">
        <f aca="false">Assumptions!$C$7*Assumptions!$C$10*EXP(-Assumptions!$C$9*Assumptions!$C$10)*NORMSDIST(((LN(3350/Assumptions!$C$7)+(Assumptions!$C$9-Assumptions!$C$11+Assumptions!$C$8^2/2)*Assumptions!$C$10)/(Assumptions!$C$8*SQRT(Assumptions!$C$10)))-Assumptions!$C$8*SQRT(Assumptions!$C$10))*0.01</f>
        <v>6.09729429555041</v>
      </c>
      <c r="K43" s="111" t="n">
        <f aca="false">-Assumptions!$C$7*Assumptions!$C$10*EXP(-Assumptions!$C$9*Assumptions!$C$10)*NORMSDIST(-(((LN(3350/Assumptions!$C$7)+(Assumptions!$C$9-Assumptions!$C$11+Assumptions!$C$8^2/2)*Assumptions!$C$10)/(Assumptions!$C$8*SQRT(Assumptions!$C$10)))-Assumptions!$C$8*SQRT(Assumptions!$C$10)))*0.01</f>
        <v>-0.0519639480538906</v>
      </c>
      <c r="L43" s="114" t="n">
        <f aca="false">3350*EXP(-Assumptions!$C$11*Assumptions!$C$10)*NORMSDIST((LN(3350/Assumptions!$C$7)+(Assumptions!$C$9-Assumptions!$C$11+Assumptions!$C$8^2/2)*Assumptions!$C$10)/(Assumptions!$C$8*SQRT(Assumptions!$C$10)))-Assumptions!$C$7*EXP(-Assumptions!$C$9*Assumptions!$C$10)*NORMSDIST(((LN(3350/Assumptions!$C$7)+(Assumptions!$C$9-Assumptions!$C$11+Assumptions!$C$8^2/2)*Assumptions!$C$10)/(Assumptions!$C$8*SQRT(Assumptions!$C$10)))-Assumptions!$C$8*SQRT(Assumptions!$C$10))</f>
        <v>882.765024537671</v>
      </c>
      <c r="M43" s="115" t="n">
        <f aca="false">Assumptions!$C$7*EXP(-Assumptions!$C$9*Assumptions!$C$10)*NORMSDIST(-(((LN(3350/Assumptions!$C$7)+(Assumptions!$C$9-Assumptions!$C$11+Assumptions!$C$8^2/2)*Assumptions!$C$10)/(Assumptions!$C$8*SQRT(Assumptions!$C$10)))-Assumptions!$C$8*SQRT(Assumptions!$C$10)))-3350*EXP(-Assumptions!$C$11*Assumptions!$C$10)*NORMSDIST(-((LN(3350/Assumptions!$C$7)+(Assumptions!$C$9-Assumptions!$C$11+Assumptions!$C$8^2/2)*Assumptions!$C$10)/(Assumptions!$C$8*SQRT(Assumptions!$C$10))))</f>
        <v>0.832861947898667</v>
      </c>
    </row>
    <row r="44" customFormat="false" ht="15" hidden="false" customHeight="true" outlineLevel="0" collapsed="false">
      <c r="B44" s="93" t="n">
        <v>3400</v>
      </c>
      <c r="C44" s="102" t="str">
        <f aca="false">IF(3400&gt;=Assumptions!$C$7*1.05,"ITM",IF(3400&lt;=Assumptions!$C$7*0.95,"OTM","ATM"))</f>
        <v>ITM</v>
      </c>
      <c r="D44" s="103" t="n">
        <f aca="false">NORMSDIST((LN(3400/Assumptions!$C$7)+(Assumptions!$C$9-Assumptions!$C$11+Assumptions!$C$8^2/2)*Assumptions!$C$10)/(Assumptions!$C$8*SQRT(Assumptions!$C$10)))</f>
        <v>0.995760521543699</v>
      </c>
      <c r="E44" s="104" t="n">
        <f aca="false">NORMSDIST((LN(3400/Assumptions!$C$7)+(Assumptions!$C$9-Assumptions!$C$11+Assumptions!$C$8^2/2)*Assumptions!$C$10)/(Assumptions!$C$8*SQRT(Assumptions!$C$10)))-1</f>
        <v>-0.00423947845630135</v>
      </c>
      <c r="F44" s="105" t="n">
        <f aca="false">NORMDIST((LN(3400/Assumptions!$C$7)+(Assumptions!$C$9-Assumptions!$C$11+Assumptions!$C$8^2/2)*Assumptions!$C$10)/(Assumptions!$C$8*SQRT(Assumptions!$C$10)),0,1,FALSE())/(3400*Assumptions!$C$8*SQRT(Assumptions!$C$10))</f>
        <v>2.93642205950441E-005</v>
      </c>
      <c r="G44" s="106" t="n">
        <f aca="false">3400*NORMDIST((LN(3400/Assumptions!$C$7)+(Assumptions!$C$9-Assumptions!$C$11+Assumptions!$C$8^2/2)*Assumptions!$C$10)/(Assumptions!$C$8*SQRT(Assumptions!$C$10)),0,1,FALSE())*SQRT(Assumptions!$C$10)/100</f>
        <v>0.212156493799194</v>
      </c>
      <c r="H44" s="103" t="n">
        <f aca="false">(-((3400*NORMDIST((LN(3400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(3400/Assumptions!$C$7)+(Assumptions!$C$9-Assumptions!$C$11+Assumptions!$C$8^2/2)*Assumptions!$C$10)/(Assumptions!$C$8*SQRT(Assumptions!$C$10)))-Assumptions!$C$8*SQRT(Assumptions!$C$10)))/365</f>
        <v>-0.398370812385658</v>
      </c>
      <c r="I44" s="104" t="n">
        <f aca="false">(-((3400*NORMDIST((LN(3400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(3400/Assumptions!$C$7)+(Assumptions!$C$9-Assumptions!$C$11+Assumptions!$C$8^2/2)*Assumptions!$C$10)/(Assumptions!$C$8*SQRT(Assumptions!$C$10)))-Assumptions!$C$8*SQRT(Assumptions!$C$10))))/365</f>
        <v>-0.0268028297097169</v>
      </c>
      <c r="J44" s="103" t="n">
        <f aca="false">Assumptions!$C$7*Assumptions!$C$10*EXP(-Assumptions!$C$9*Assumptions!$C$10)*NORMSDIST(((LN(3400/Assumptions!$C$7)+(Assumptions!$C$9-Assumptions!$C$11+Assumptions!$C$8^2/2)*Assumptions!$C$10)/(Assumptions!$C$8*SQRT(Assumptions!$C$10)))-Assumptions!$C$8*SQRT(Assumptions!$C$10))*0.01</f>
        <v>6.11186131443947</v>
      </c>
      <c r="K44" s="104" t="n">
        <f aca="false">-Assumptions!$C$7*Assumptions!$C$10*EXP(-Assumptions!$C$9*Assumptions!$C$10)*NORMSDIST(-(((LN(3400/Assumptions!$C$7)+(Assumptions!$C$9-Assumptions!$C$11+Assumptions!$C$8^2/2)*Assumptions!$C$10)/(Assumptions!$C$8*SQRT(Assumptions!$C$10)))-Assumptions!$C$8*SQRT(Assumptions!$C$10)))*0.01</f>
        <v>-0.0373969291648263</v>
      </c>
      <c r="L44" s="107" t="n">
        <f aca="false">3400*EXP(-Assumptions!$C$11*Assumptions!$C$10)*NORMSDIST((LN(3400/Assumptions!$C$7)+(Assumptions!$C$9-Assumptions!$C$11+Assumptions!$C$8^2/2)*Assumptions!$C$10)/(Assumptions!$C$8*SQRT(Assumptions!$C$10)))-Assumptions!$C$7*EXP(-Assumptions!$C$9*Assumptions!$C$10)*NORMSDIST(((LN(3400/Assumptions!$C$7)+(Assumptions!$C$9-Assumptions!$C$11+Assumptions!$C$8^2/2)*Assumptions!$C$10)/(Assumptions!$C$8*SQRT(Assumptions!$C$10)))-Assumptions!$C$8*SQRT(Assumptions!$C$10))</f>
        <v>932.387854184086</v>
      </c>
      <c r="M44" s="108" t="n">
        <f aca="false">Assumptions!$C$7*EXP(-Assumptions!$C$9*Assumptions!$C$10)*NORMSDIST(-(((LN(3400/Assumptions!$C$7)+(Assumptions!$C$9-Assumptions!$C$11+Assumptions!$C$8^2/2)*Assumptions!$C$10)/(Assumptions!$C$8*SQRT(Assumptions!$C$10)))-Assumptions!$C$8*SQRT(Assumptions!$C$10)))-3400*EXP(-Assumptions!$C$11*Assumptions!$C$10)*NORMSDIST(-((LN(3400/Assumptions!$C$7)+(Assumptions!$C$9-Assumptions!$C$11+Assumptions!$C$8^2/2)*Assumptions!$C$10)/(Assumptions!$C$8*SQRT(Assumptions!$C$10))))</f>
        <v>0.580535474439319</v>
      </c>
    </row>
    <row r="45" customFormat="false" ht="15" hidden="false" customHeight="true" outlineLevel="0" collapsed="false">
      <c r="B45" s="96" t="n">
        <v>3450</v>
      </c>
      <c r="C45" s="109" t="str">
        <f aca="false">IF(3450&gt;=Assumptions!$C$7*1.05,"ITM",IF(3450&lt;=Assumptions!$C$7*0.95,"OTM","ATM"))</f>
        <v>ITM</v>
      </c>
      <c r="D45" s="110" t="n">
        <f aca="false">NORMSDIST((LN(3450/Assumptions!$C$7)+(Assumptions!$C$9-Assumptions!$C$11+Assumptions!$C$8^2/2)*Assumptions!$C$10)/(Assumptions!$C$8*SQRT(Assumptions!$C$10)))</f>
        <v>0.997012662199304</v>
      </c>
      <c r="E45" s="111" t="n">
        <f aca="false">NORMSDIST((LN(3450/Assumptions!$C$7)+(Assumptions!$C$9-Assumptions!$C$11+Assumptions!$C$8^2/2)*Assumptions!$C$10)/(Assumptions!$C$8*SQRT(Assumptions!$C$10)))-1</f>
        <v>-0.00298733780069616</v>
      </c>
      <c r="F45" s="112" t="n">
        <f aca="false">NORMDIST((LN(3450/Assumptions!$C$7)+(Assumptions!$C$9-Assumptions!$C$11+Assumptions!$C$8^2/2)*Assumptions!$C$10)/(Assumptions!$C$8*SQRT(Assumptions!$C$10)),0,1,FALSE())/(3450*Assumptions!$C$8*SQRT(Assumptions!$C$10))</f>
        <v>2.11348160112685E-005</v>
      </c>
      <c r="G45" s="113" t="n">
        <f aca="false">3450*NORMDIST((LN(3450/Assumptions!$C$7)+(Assumptions!$C$9-Assumptions!$C$11+Assumptions!$C$8^2/2)*Assumptions!$C$10)/(Assumptions!$C$8*SQRT(Assumptions!$C$10)),0,1,FALSE())*SQRT(Assumptions!$C$10)/100</f>
        <v>0.157223217233827</v>
      </c>
      <c r="H45" s="110" t="n">
        <f aca="false">(-((3450*NORMDIST((LN(3450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(3450/Assumptions!$C$7)+(Assumptions!$C$9-Assumptions!$C$11+Assumptions!$C$8^2/2)*Assumptions!$C$10)/(Assumptions!$C$8*SQRT(Assumptions!$C$10)))-Assumptions!$C$8*SQRT(Assumptions!$C$10)))/365</f>
        <v>-0.391491672654767</v>
      </c>
      <c r="I45" s="111" t="n">
        <f aca="false">(-((3450*NORMDIST((LN(3450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(3450/Assumptions!$C$7)+(Assumptions!$C$9-Assumptions!$C$11+Assumptions!$C$8^2/2)*Assumptions!$C$10)/(Assumptions!$C$8*SQRT(Assumptions!$C$10)))-Assumptions!$C$8*SQRT(Assumptions!$C$10))))/365</f>
        <v>-0.0199236899788254</v>
      </c>
      <c r="J45" s="110" t="n">
        <f aca="false">Assumptions!$C$7*Assumptions!$C$10*EXP(-Assumptions!$C$9*Assumptions!$C$10)*NORMSDIST(((LN(3450/Assumptions!$C$7)+(Assumptions!$C$9-Assumptions!$C$11+Assumptions!$C$8^2/2)*Assumptions!$C$10)/(Assumptions!$C$8*SQRT(Assumptions!$C$10)))-Assumptions!$C$8*SQRT(Assumptions!$C$10))*0.01</f>
        <v>6.12255172889941</v>
      </c>
      <c r="K45" s="111" t="n">
        <f aca="false">-Assumptions!$C$7*Assumptions!$C$10*EXP(-Assumptions!$C$9*Assumptions!$C$10)*NORMSDIST(-(((LN(3450/Assumptions!$C$7)+(Assumptions!$C$9-Assumptions!$C$11+Assumptions!$C$8^2/2)*Assumptions!$C$10)/(Assumptions!$C$8*SQRT(Assumptions!$C$10)))-Assumptions!$C$8*SQRT(Assumptions!$C$10)))*0.01</f>
        <v>-0.026706514704883</v>
      </c>
      <c r="L45" s="114" t="n">
        <f aca="false">3450*EXP(-Assumptions!$C$11*Assumptions!$C$10)*NORMSDIST((LN(3450/Assumptions!$C$7)+(Assumptions!$C$9-Assumptions!$C$11+Assumptions!$C$8^2/2)*Assumptions!$C$10)/(Assumptions!$C$8*SQRT(Assumptions!$C$10)))-Assumptions!$C$7*EXP(-Assumptions!$C$9*Assumptions!$C$10)*NORMSDIST(((LN(3450/Assumptions!$C$7)+(Assumptions!$C$9-Assumptions!$C$11+Assumptions!$C$8^2/2)*Assumptions!$C$10)/(Assumptions!$C$8*SQRT(Assumptions!$C$10)))-Assumptions!$C$8*SQRT(Assumptions!$C$10))</f>
        <v>982.084498907188</v>
      </c>
      <c r="M45" s="115" t="n">
        <f aca="false">Assumptions!$C$7*EXP(-Assumptions!$C$9*Assumptions!$C$10)*NORMSDIST(-(((LN(3450/Assumptions!$C$7)+(Assumptions!$C$9-Assumptions!$C$11+Assumptions!$C$8^2/2)*Assumptions!$C$10)/(Assumptions!$C$8*SQRT(Assumptions!$C$10)))-Assumptions!$C$8*SQRT(Assumptions!$C$10)))-3450*EXP(-Assumptions!$C$11*Assumptions!$C$10)*NORMSDIST(-((LN(3450/Assumptions!$C$7)+(Assumptions!$C$9-Assumptions!$C$11+Assumptions!$C$8^2/2)*Assumptions!$C$10)/(Assumptions!$C$8*SQRT(Assumptions!$C$10))))</f>
        <v>0.40202407766939</v>
      </c>
    </row>
    <row r="46" customFormat="false" ht="15" hidden="false" customHeight="true" outlineLevel="0" collapsed="false">
      <c r="B46" s="93" t="n">
        <v>3500</v>
      </c>
      <c r="C46" s="102" t="str">
        <f aca="false">IF(3500&gt;=Assumptions!$C$7*1.05,"ITM",IF(3500&lt;=Assumptions!$C$7*0.95,"OTM","ATM"))</f>
        <v>ITM</v>
      </c>
      <c r="D46" s="103" t="n">
        <f aca="false">NORMSDIST((LN(3500/Assumptions!$C$7)+(Assumptions!$C$9-Assumptions!$C$11+Assumptions!$C$8^2/2)*Assumptions!$C$10)/(Assumptions!$C$8*SQRT(Assumptions!$C$10)))</f>
        <v>0.99791019422125</v>
      </c>
      <c r="E46" s="104" t="n">
        <f aca="false">NORMSDIST((LN(3500/Assumptions!$C$7)+(Assumptions!$C$9-Assumptions!$C$11+Assumptions!$C$8^2/2)*Assumptions!$C$10)/(Assumptions!$C$8*SQRT(Assumptions!$C$10)))-1</f>
        <v>-0.0020898057787504</v>
      </c>
      <c r="F46" s="105" t="n">
        <f aca="false">NORMDIST((LN(3500/Assumptions!$C$7)+(Assumptions!$C$9-Assumptions!$C$11+Assumptions!$C$8^2/2)*Assumptions!$C$10)/(Assumptions!$C$8*SQRT(Assumptions!$C$10)),0,1,FALSE())/(3500*Assumptions!$C$8*SQRT(Assumptions!$C$10))</f>
        <v>1.50812370978943E-005</v>
      </c>
      <c r="G46" s="106" t="n">
        <f aca="false">3500*NORMDIST((LN(3500/Assumptions!$C$7)+(Assumptions!$C$9-Assumptions!$C$11+Assumptions!$C$8^2/2)*Assumptions!$C$10)/(Assumptions!$C$8*SQRT(Assumptions!$C$10)),0,1,FALSE())*SQRT(Assumptions!$C$10)/100</f>
        <v>0.115465721530753</v>
      </c>
      <c r="H46" s="103" t="n">
        <f aca="false">(-((3500*NORMDIST((LN(3500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(3500/Assumptions!$C$7)+(Assumptions!$C$9-Assumptions!$C$11+Assumptions!$C$8^2/2)*Assumptions!$C$10)/(Assumptions!$C$8*SQRT(Assumptions!$C$10)))-Assumptions!$C$8*SQRT(Assumptions!$C$10)))/365</f>
        <v>-0.386241252817484</v>
      </c>
      <c r="I46" s="104" t="n">
        <f aca="false">(-((3500*NORMDIST((LN(3500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(3500/Assumptions!$C$7)+(Assumptions!$C$9-Assumptions!$C$11+Assumptions!$C$8^2/2)*Assumptions!$C$10)/(Assumptions!$C$8*SQRT(Assumptions!$C$10)))-Assumptions!$C$8*SQRT(Assumptions!$C$10))))/365</f>
        <v>-0.0146732701415429</v>
      </c>
      <c r="J46" s="103" t="n">
        <f aca="false">Assumptions!$C$7*Assumptions!$C$10*EXP(-Assumptions!$C$9*Assumptions!$C$10)*NORMSDIST(((LN(3500/Assumptions!$C$7)+(Assumptions!$C$9-Assumptions!$C$11+Assumptions!$C$8^2/2)*Assumptions!$C$10)/(Assumptions!$C$8*SQRT(Assumptions!$C$10)))-Assumptions!$C$8*SQRT(Assumptions!$C$10))*0.01</f>
        <v>6.1303264289488</v>
      </c>
      <c r="K46" s="104" t="n">
        <f aca="false">-Assumptions!$C$7*Assumptions!$C$10*EXP(-Assumptions!$C$9*Assumptions!$C$10)*NORMSDIST(-(((LN(3500/Assumptions!$C$7)+(Assumptions!$C$9-Assumptions!$C$11+Assumptions!$C$8^2/2)*Assumptions!$C$10)/(Assumptions!$C$8*SQRT(Assumptions!$C$10)))-Assumptions!$C$8*SQRT(Assumptions!$C$10)))*0.01</f>
        <v>-0.018931814655494</v>
      </c>
      <c r="L46" s="107" t="n">
        <f aca="false">3500*EXP(-Assumptions!$C$11*Assumptions!$C$10)*NORMSDIST((LN(3500/Assumptions!$C$7)+(Assumptions!$C$9-Assumptions!$C$11+Assumptions!$C$8^2/2)*Assumptions!$C$10)/(Assumptions!$C$8*SQRT(Assumptions!$C$10)))-Assumptions!$C$7*EXP(-Assumptions!$C$9*Assumptions!$C$10)*NORMSDIST(((LN(3500/Assumptions!$C$7)+(Assumptions!$C$9-Assumptions!$C$11+Assumptions!$C$8^2/2)*Assumptions!$C$10)/(Assumptions!$C$8*SQRT(Assumptions!$C$10)))-Assumptions!$C$8*SQRT(Assumptions!$C$10))</f>
        <v>1031.83429954831</v>
      </c>
      <c r="M46" s="108" t="n">
        <f aca="false">Assumptions!$C$7*EXP(-Assumptions!$C$9*Assumptions!$C$10)*NORMSDIST(-(((LN(3500/Assumptions!$C$7)+(Assumptions!$C$9-Assumptions!$C$11+Assumptions!$C$8^2/2)*Assumptions!$C$10)/(Assumptions!$C$8*SQRT(Assumptions!$C$10)))-Assumptions!$C$8*SQRT(Assumptions!$C$10)))-3500*EXP(-Assumptions!$C$11*Assumptions!$C$10)*NORMSDIST(-((LN(3500/Assumptions!$C$7)+(Assumptions!$C$9-Assumptions!$C$11+Assumptions!$C$8^2/2)*Assumptions!$C$10)/(Assumptions!$C$8*SQRT(Assumptions!$C$10))))</f>
        <v>0.276668598920428</v>
      </c>
    </row>
    <row r="47" customFormat="false" ht="15" hidden="false" customHeight="true" outlineLevel="0" collapsed="false">
      <c r="B47" s="96" t="n">
        <v>3550</v>
      </c>
      <c r="C47" s="109" t="str">
        <f aca="false">IF(3550&gt;=Assumptions!$C$7*1.05,"ITM",IF(3550&lt;=Assumptions!$C$7*0.95,"OTM","ATM"))</f>
        <v>ITM</v>
      </c>
      <c r="D47" s="110" t="n">
        <f aca="false">NORMSDIST((LN(3550/Assumptions!$C$7)+(Assumptions!$C$9-Assumptions!$C$11+Assumptions!$C$8^2/2)*Assumptions!$C$10)/(Assumptions!$C$8*SQRT(Assumptions!$C$10)))</f>
        <v>0.998548159922146</v>
      </c>
      <c r="E47" s="111" t="n">
        <f aca="false">NORMSDIST((LN(3550/Assumptions!$C$7)+(Assumptions!$C$9-Assumptions!$C$11+Assumptions!$C$8^2/2)*Assumptions!$C$10)/(Assumptions!$C$8*SQRT(Assumptions!$C$10)))-1</f>
        <v>-0.00145184007785426</v>
      </c>
      <c r="F47" s="112" t="n">
        <f aca="false">NORMDIST((LN(3550/Assumptions!$C$7)+(Assumptions!$C$9-Assumptions!$C$11+Assumptions!$C$8^2/2)*Assumptions!$C$10)/(Assumptions!$C$8*SQRT(Assumptions!$C$10)),0,1,FALSE())/(3550*Assumptions!$C$8*SQRT(Assumptions!$C$10))</f>
        <v>1.06738662206817E-005</v>
      </c>
      <c r="G47" s="113" t="n">
        <f aca="false">3550*NORMDIST((LN(3550/Assumptions!$C$7)+(Assumptions!$C$9-Assumptions!$C$11+Assumptions!$C$8^2/2)*Assumptions!$C$10)/(Assumptions!$C$8*SQRT(Assumptions!$C$10)),0,1,FALSE())*SQRT(Assumptions!$C$10)/100</f>
        <v>0.0840733744038381</v>
      </c>
      <c r="H47" s="110" t="n">
        <f aca="false">(-((3550*NORMDIST((LN(3550/Assumptions!$C$7)+(Assumptions!$C$9-Assumptions!$C$11+Assumptions!$C$8^2/2)*Assumptions!$C$10)/(Assumptions!$C$8*SQRT(Assumptions!$C$10)),0,1,FALSE())*Assumptions!$C$8)/(2*SQRT(Assumptions!$C$10)))-(Assumptions!$C$9-Assumptions!$C$11)*Assumptions!$C$7*EXP(-(Assumptions!$C$9-Assumptions!$C$11)*Assumptions!$C$10)*NORMSDIST(((LN(3550/Assumptions!$C$7)+(Assumptions!$C$9-Assumptions!$C$11+Assumptions!$C$8^2/2)*Assumptions!$C$10)/(Assumptions!$C$8*SQRT(Assumptions!$C$10)))-Assumptions!$C$8*SQRT(Assumptions!$C$10)))/365</f>
        <v>-0.382279657809225</v>
      </c>
      <c r="I47" s="111" t="n">
        <f aca="false">(-((3550*NORMDIST((LN(3550/Assumptions!$C$7)+(Assumptions!$C$9-Assumptions!$C$11+Assumptions!$C$8^2/2)*Assumptions!$C$10)/(Assumptions!$C$8*SQRT(Assumptions!$C$10)),0,1,FALSE())*Assumptions!$C$8)/(2*SQRT(Assumptions!$C$10)))+(Assumptions!$C$9-Assumptions!$C$11)*Assumptions!$C$7*EXP(-(Assumptions!$C$9-Assumptions!$C$11)*Assumptions!$C$10)*NORMSDIST(-(((LN(3550/Assumptions!$C$7)+(Assumptions!$C$9-Assumptions!$C$11+Assumptions!$C$8^2/2)*Assumptions!$C$10)/(Assumptions!$C$8*SQRT(Assumptions!$C$10)))-Assumptions!$C$8*SQRT(Assumptions!$C$10))))/365</f>
        <v>-0.0107116751332839</v>
      </c>
      <c r="J47" s="110" t="n">
        <f aca="false">Assumptions!$C$7*Assumptions!$C$10*EXP(-Assumptions!$C$9*Assumptions!$C$10)*NORMSDIST(((LN(3550/Assumptions!$C$7)+(Assumptions!$C$9-Assumptions!$C$11+Assumptions!$C$8^2/2)*Assumptions!$C$10)/(Assumptions!$C$8*SQRT(Assumptions!$C$10)))-Assumptions!$C$8*SQRT(Assumptions!$C$10))*0.01</f>
        <v>6.13593217787714</v>
      </c>
      <c r="K47" s="111" t="n">
        <f aca="false">-Assumptions!$C$7*Assumptions!$C$10*EXP(-Assumptions!$C$9*Assumptions!$C$10)*NORMSDIST(-(((LN(3550/Assumptions!$C$7)+(Assumptions!$C$9-Assumptions!$C$11+Assumptions!$C$8^2/2)*Assumptions!$C$10)/(Assumptions!$C$8*SQRT(Assumptions!$C$10)))-Assumptions!$C$8*SQRT(Assumptions!$C$10)))*0.01</f>
        <v>-0.0133260657271514</v>
      </c>
      <c r="L47" s="114" t="n">
        <f aca="false">3550*EXP(-Assumptions!$C$11*Assumptions!$C$10)*NORMSDIST((LN(3550/Assumptions!$C$7)+(Assumptions!$C$9-Assumptions!$C$11+Assumptions!$C$8^2/2)*Assumptions!$C$10)/(Assumptions!$C$8*SQRT(Assumptions!$C$10)))-Assumptions!$C$7*EXP(-Assumptions!$C$9*Assumptions!$C$10)*NORMSDIST(((LN(3550/Assumptions!$C$7)+(Assumptions!$C$9-Assumptions!$C$11+Assumptions!$C$8^2/2)*Assumptions!$C$10)/(Assumptions!$C$8*SQRT(Assumptions!$C$10)))-Assumptions!$C$8*SQRT(Assumptions!$C$10))</f>
        <v>1081.6220500715</v>
      </c>
      <c r="M47" s="115" t="n">
        <f aca="false">Assumptions!$C$7*EXP(-Assumptions!$C$9*Assumptions!$C$10)*NORMSDIST(-(((LN(3550/Assumptions!$C$7)+(Assumptions!$C$9-Assumptions!$C$11+Assumptions!$C$8^2/2)*Assumptions!$C$10)/(Assumptions!$C$8*SQRT(Assumptions!$C$10)))-Assumptions!$C$8*SQRT(Assumptions!$C$10)))-3550*EXP(-Assumptions!$C$11*Assumptions!$C$10)*NORMSDIST(-((LN(3550/Assumptions!$C$7)+(Assumptions!$C$9-Assumptions!$C$11+Assumptions!$C$8^2/2)*Assumptions!$C$10)/(Assumptions!$C$8*SQRT(Assumptions!$C$10))))</f>
        <v>0.189263002231781</v>
      </c>
    </row>
  </sheetData>
  <mergeCells count="2">
    <mergeCell ref="B2:L2"/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2026-05-30T06:50:10Z</dcterms:created>
  <dc:creator>openpyxl</dc:creator>
  <dc:description/>
  <dc:language>en-US</dc:language>
  <cp:lastModifiedBy/>
  <dcterms:modified xsi:type="dcterms:W3CDTF">2026-05-30T06:51:30Z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